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I\proyectos\dashboard-carga\"/>
    </mc:Choice>
  </mc:AlternateContent>
  <xr:revisionPtr revIDLastSave="0" documentId="13_ncr:1_{5B7FFE49-606D-4C35-92D8-B2EB0C74B2E5}" xr6:coauthVersionLast="47" xr6:coauthVersionMax="47" xr10:uidLastSave="{00000000-0000-0000-0000-000000000000}"/>
  <bookViews>
    <workbookView xWindow="28680" yWindow="-75" windowWidth="29040" windowHeight="15720" tabRatio="906" xr2:uid="{F20CC877-7D6B-412E-9C80-375DA4571C82}"/>
  </bookViews>
  <sheets>
    <sheet name="Cronograma" sheetId="29" r:id="rId1"/>
    <sheet name="Cronograma (2)" sheetId="31" state="hidden" r:id="rId2"/>
  </sheets>
  <functionGroups builtInGroupCount="19"/>
  <definedNames>
    <definedName name="_xlnm._FilterDatabase" localSheetId="0" hidden="1">Cronograma!$A$1:$F$88</definedName>
    <definedName name="_xlnm._FilterDatabase" localSheetId="1" hidden="1">'Cronograma (2)'!$A$4:$G$423</definedName>
    <definedName name="ActualBeyond">PeriodInActual*(#REF!&gt;0)</definedName>
    <definedName name="PercentCompleteBeyond">(#REF!=MEDIAN(#REF!,#REF!,#REF!+#REF!)*(#REF!&gt;0))*((#REF!&lt;(INT(#REF!+#REF!*#REF!)))+(#REF!=#REF!))*(#REF!&gt;0)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lan">PeriodInPlan*(#REF!&gt;0)</definedName>
    <definedName name="PorcentajeCompletado">PercentCompleteBeyond*PeriodInPlan</definedName>
    <definedName name="Real">(PeriodInActual*(#REF!&gt;0))*PeriodInPlan</definedName>
    <definedName name="TitleRegion..BO60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9" l="1"/>
  <c r="C103" i="29"/>
  <c r="F103" i="29" s="1"/>
  <c r="F67" i="29"/>
  <c r="F102" i="29"/>
  <c r="F101" i="29"/>
  <c r="F97" i="29"/>
  <c r="F96" i="29"/>
  <c r="F92" i="29"/>
  <c r="F91" i="29"/>
  <c r="F88" i="29"/>
  <c r="F87" i="29"/>
  <c r="F84" i="29"/>
  <c r="F83" i="29"/>
  <c r="F80" i="29"/>
  <c r="F79" i="29"/>
  <c r="F78" i="29"/>
  <c r="F75" i="29"/>
  <c r="F74" i="29"/>
  <c r="F60" i="29"/>
  <c r="F59" i="29"/>
  <c r="F57" i="29"/>
  <c r="F58" i="29"/>
  <c r="F56" i="29"/>
  <c r="F54" i="29"/>
  <c r="F53" i="29"/>
  <c r="F52" i="29"/>
  <c r="F51" i="29"/>
  <c r="D46" i="29"/>
  <c r="F49" i="29"/>
  <c r="D38" i="29"/>
  <c r="F38" i="29" s="1"/>
  <c r="F40" i="29"/>
  <c r="D34" i="29"/>
  <c r="F34" i="29" s="1"/>
  <c r="F4" i="29"/>
  <c r="F6" i="29"/>
  <c r="F21" i="29"/>
  <c r="F20" i="29"/>
  <c r="F5" i="29"/>
  <c r="F19" i="29"/>
  <c r="F22" i="29"/>
  <c r="F26" i="29"/>
  <c r="F27" i="29"/>
  <c r="F25" i="29"/>
  <c r="F24" i="29"/>
  <c r="F12" i="29"/>
  <c r="F11" i="29"/>
  <c r="F23" i="29"/>
  <c r="F29" i="29"/>
  <c r="F18" i="29"/>
  <c r="F10" i="29"/>
  <c r="F28" i="29"/>
  <c r="F17" i="29"/>
  <c r="F9" i="29"/>
  <c r="C14" i="29"/>
  <c r="D14" i="29" s="1"/>
  <c r="C15" i="29" s="1"/>
  <c r="F8" i="29"/>
  <c r="D16" i="29"/>
  <c r="F16" i="29" s="1"/>
  <c r="F70" i="29"/>
  <c r="F68" i="29"/>
  <c r="F65" i="29"/>
  <c r="F69" i="29"/>
  <c r="F71" i="29"/>
  <c r="F48" i="29"/>
  <c r="F47" i="29"/>
  <c r="F45" i="29"/>
  <c r="F37" i="29"/>
  <c r="F36" i="29"/>
  <c r="F35" i="29"/>
  <c r="F33" i="29"/>
  <c r="F3" i="29"/>
  <c r="F2" i="29"/>
  <c r="C410" i="31"/>
  <c r="C403" i="31"/>
  <c r="C402" i="31"/>
  <c r="G399" i="31"/>
  <c r="C380" i="31"/>
  <c r="C379" i="31"/>
  <c r="C376" i="31"/>
  <c r="G373" i="31"/>
  <c r="C344" i="31"/>
  <c r="C342" i="31"/>
  <c r="C339" i="31"/>
  <c r="C338" i="31"/>
  <c r="C336" i="31"/>
  <c r="C335" i="31"/>
  <c r="G332" i="31"/>
  <c r="C303" i="31"/>
  <c r="C301" i="31"/>
  <c r="C300" i="31"/>
  <c r="C295" i="31"/>
  <c r="C294" i="31"/>
  <c r="G291" i="31"/>
  <c r="C274" i="31"/>
  <c r="C252" i="31"/>
  <c r="C248" i="31"/>
  <c r="C247" i="31"/>
  <c r="C246" i="31"/>
  <c r="C245" i="31"/>
  <c r="C243" i="31"/>
  <c r="C242" i="31"/>
  <c r="C240" i="31"/>
  <c r="C239" i="31"/>
  <c r="C237" i="31"/>
  <c r="C236" i="31"/>
  <c r="C233" i="31"/>
  <c r="C232" i="31"/>
  <c r="G229" i="31"/>
  <c r="C220" i="31"/>
  <c r="C218" i="31"/>
  <c r="C212" i="31"/>
  <c r="C211" i="31"/>
  <c r="D210" i="31"/>
  <c r="E210" i="31"/>
  <c r="F210" i="31"/>
  <c r="H210" i="31" s="1"/>
  <c r="C201" i="31"/>
  <c r="C199" i="31"/>
  <c r="C193" i="31"/>
  <c r="C192" i="31"/>
  <c r="C203" i="31"/>
  <c r="F191" i="31"/>
  <c r="H191" i="31" s="1"/>
  <c r="E191" i="31"/>
  <c r="D191" i="31"/>
  <c r="C184" i="31"/>
  <c r="D182" i="31"/>
  <c r="C182" i="31"/>
  <c r="C181" i="31"/>
  <c r="D180" i="31"/>
  <c r="C180" i="31"/>
  <c r="C177" i="31"/>
  <c r="C174" i="31"/>
  <c r="C173" i="31"/>
  <c r="D173" i="31"/>
  <c r="D172" i="31"/>
  <c r="E172" i="31"/>
  <c r="F172" i="31"/>
  <c r="H172" i="31" s="1"/>
  <c r="G169" i="31"/>
  <c r="C164" i="31"/>
  <c r="C155" i="31"/>
  <c r="C154" i="31"/>
  <c r="C157" i="31"/>
  <c r="C142" i="31"/>
  <c r="G138" i="31"/>
  <c r="C132" i="31"/>
  <c r="C131" i="31"/>
  <c r="D131" i="31"/>
  <c r="E131" i="31"/>
  <c r="F131" i="31"/>
  <c r="H131" i="31" s="1"/>
  <c r="E127" i="31"/>
  <c r="F127" i="31"/>
  <c r="H127" i="31" s="1"/>
  <c r="D127" i="31"/>
  <c r="C122" i="31"/>
  <c r="D121" i="31"/>
  <c r="E121" i="31"/>
  <c r="F121" i="31"/>
  <c r="H121" i="31" s="1"/>
  <c r="C120" i="31"/>
  <c r="D116" i="31"/>
  <c r="C121" i="31"/>
  <c r="G101" i="31"/>
  <c r="G85" i="31"/>
  <c r="E63" i="31"/>
  <c r="F63" i="31"/>
  <c r="G59" i="31"/>
  <c r="C58" i="31"/>
  <c r="D52" i="31"/>
  <c r="E51" i="31"/>
  <c r="F51" i="31"/>
  <c r="H51" i="31" s="1"/>
  <c r="E47" i="31"/>
  <c r="F47" i="31"/>
  <c r="H47" i="31" s="1"/>
  <c r="C46" i="31"/>
  <c r="E46" i="31"/>
  <c r="F46" i="31"/>
  <c r="H46" i="31" s="1"/>
  <c r="C44" i="31"/>
  <c r="E43" i="31"/>
  <c r="F43" i="31"/>
  <c r="H43" i="31" s="1"/>
  <c r="F41" i="31"/>
  <c r="H41" i="31" s="1"/>
  <c r="E41" i="31"/>
  <c r="C40" i="31"/>
  <c r="E40" i="31"/>
  <c r="F40" i="31"/>
  <c r="H40" i="31" s="1"/>
  <c r="C38" i="31"/>
  <c r="C39" i="31"/>
  <c r="E39" i="31"/>
  <c r="F39" i="31"/>
  <c r="H39" i="31" s="1"/>
  <c r="E37" i="31"/>
  <c r="F37" i="31"/>
  <c r="H37" i="31" s="1"/>
  <c r="E36" i="31"/>
  <c r="F36" i="31"/>
  <c r="H36" i="31" s="1"/>
  <c r="E34" i="31"/>
  <c r="F34" i="31"/>
  <c r="H34" i="31" s="1"/>
  <c r="C33" i="31"/>
  <c r="E33" i="31"/>
  <c r="F33" i="31"/>
  <c r="H33" i="31" s="1"/>
  <c r="C32" i="31"/>
  <c r="E32" i="31"/>
  <c r="F32" i="31"/>
  <c r="H32" i="31" s="1"/>
  <c r="C31" i="31"/>
  <c r="E30" i="31"/>
  <c r="F30" i="31"/>
  <c r="H30" i="31" s="1"/>
  <c r="E29" i="31"/>
  <c r="F29" i="31"/>
  <c r="H29" i="31" s="1"/>
  <c r="E25" i="31"/>
  <c r="F25" i="31"/>
  <c r="H25" i="31" s="1"/>
  <c r="F24" i="31"/>
  <c r="H24" i="31" s="1"/>
  <c r="E24" i="31"/>
  <c r="D23" i="31"/>
  <c r="E23" i="31"/>
  <c r="F23" i="31"/>
  <c r="H23" i="31" s="1"/>
  <c r="E22" i="31"/>
  <c r="F22" i="31"/>
  <c r="H22" i="31" s="1"/>
  <c r="E21" i="31"/>
  <c r="F21" i="31"/>
  <c r="H21" i="31" s="1"/>
  <c r="D21" i="31"/>
  <c r="E20" i="31"/>
  <c r="F20" i="31"/>
  <c r="H20" i="31" s="1"/>
  <c r="E19" i="31"/>
  <c r="F19" i="31"/>
  <c r="H19" i="31" s="1"/>
  <c r="E18" i="31"/>
  <c r="F18" i="31"/>
  <c r="H18" i="31" s="1"/>
  <c r="E17" i="31"/>
  <c r="F17" i="31"/>
  <c r="G15" i="31"/>
  <c r="D12" i="31"/>
  <c r="E12" i="31"/>
  <c r="F12" i="31"/>
  <c r="H12" i="31" s="1"/>
  <c r="E11" i="31"/>
  <c r="F11" i="31"/>
  <c r="H11" i="31" s="1"/>
  <c r="E10" i="31"/>
  <c r="F10" i="31"/>
  <c r="H10" i="31" s="1"/>
  <c r="E9" i="31"/>
  <c r="F9" i="31"/>
  <c r="H9" i="31" s="1"/>
  <c r="E8" i="31"/>
  <c r="F8" i="31"/>
  <c r="H8" i="31" s="1"/>
  <c r="G6" i="31"/>
  <c r="D5" i="31"/>
  <c r="E5" i="31"/>
  <c r="F5" i="31"/>
  <c r="C5" i="31"/>
  <c r="C2" i="31"/>
  <c r="F66" i="29"/>
  <c r="E122" i="31"/>
  <c r="F122" i="31"/>
  <c r="H122" i="31" s="1"/>
  <c r="D177" i="31"/>
  <c r="C187" i="31"/>
  <c r="D192" i="31"/>
  <c r="E192" i="31"/>
  <c r="F192" i="31"/>
  <c r="H192" i="31" s="1"/>
  <c r="C421" i="31"/>
  <c r="C413" i="31"/>
  <c r="C328" i="31"/>
  <c r="C323" i="31"/>
  <c r="C315" i="31"/>
  <c r="C310" i="31"/>
  <c r="C357" i="31"/>
  <c r="C280" i="31"/>
  <c r="C260" i="31"/>
  <c r="C388" i="31"/>
  <c r="C308" i="31"/>
  <c r="C266" i="31"/>
  <c r="C369" i="31"/>
  <c r="C257" i="31"/>
  <c r="C411" i="31"/>
  <c r="C355" i="31"/>
  <c r="C320" i="31"/>
  <c r="C283" i="31"/>
  <c r="C263" i="31"/>
  <c r="C362" i="31"/>
  <c r="C326" i="31"/>
  <c r="C288" i="31"/>
  <c r="C273" i="31"/>
  <c r="C422" i="31"/>
  <c r="C392" i="31"/>
  <c r="C352" i="31"/>
  <c r="C396" i="31"/>
  <c r="C367" i="31"/>
  <c r="C253" i="31"/>
  <c r="C349" i="31"/>
  <c r="C313" i="31"/>
  <c r="C277" i="31"/>
  <c r="C385" i="31"/>
  <c r="C356" i="31"/>
  <c r="C348" i="31"/>
  <c r="C329" i="31"/>
  <c r="C321" i="31"/>
  <c r="C365" i="31"/>
  <c r="C267" i="31"/>
  <c r="C364" i="31"/>
  <c r="C324" i="31"/>
  <c r="C268" i="31"/>
  <c r="C361" i="31"/>
  <c r="C282" i="31"/>
  <c r="C419" i="31"/>
  <c r="C307" i="31"/>
  <c r="C256" i="31"/>
  <c r="C414" i="31"/>
  <c r="C279" i="31"/>
  <c r="C384" i="31"/>
  <c r="C316" i="31"/>
  <c r="C265" i="31"/>
  <c r="C254" i="31"/>
  <c r="C276" i="31"/>
  <c r="C262" i="31"/>
  <c r="C285" i="31"/>
  <c r="C286" i="31"/>
  <c r="C370" i="31"/>
  <c r="C395" i="31"/>
  <c r="C176" i="31"/>
  <c r="D174" i="31"/>
  <c r="E173" i="31"/>
  <c r="F173" i="31"/>
  <c r="H173" i="31" s="1"/>
  <c r="D184" i="31"/>
  <c r="C185" i="31"/>
  <c r="E184" i="31"/>
  <c r="F184" i="31"/>
  <c r="H184" i="31" s="1"/>
  <c r="D120" i="31"/>
  <c r="E120" i="31"/>
  <c r="F120" i="31"/>
  <c r="H120" i="31" s="1"/>
  <c r="C351" i="31"/>
  <c r="E199" i="31"/>
  <c r="F199" i="31"/>
  <c r="H199" i="31" s="1"/>
  <c r="C287" i="31"/>
  <c r="C311" i="31"/>
  <c r="C14" i="31"/>
  <c r="D122" i="31"/>
  <c r="C123" i="31"/>
  <c r="C175" i="31"/>
  <c r="D218" i="31"/>
  <c r="C219" i="31"/>
  <c r="E31" i="31"/>
  <c r="F31" i="31"/>
  <c r="H31" i="31" s="1"/>
  <c r="C143" i="31"/>
  <c r="D142" i="31"/>
  <c r="D113" i="31"/>
  <c r="C272" i="31"/>
  <c r="C354" i="31"/>
  <c r="C314" i="31"/>
  <c r="C152" i="31"/>
  <c r="C387" i="31"/>
  <c r="C259" i="31"/>
  <c r="E52" i="31"/>
  <c r="F52" i="31"/>
  <c r="H52" i="31" s="1"/>
  <c r="D154" i="31"/>
  <c r="C163" i="31"/>
  <c r="C158" i="31"/>
  <c r="C165" i="31"/>
  <c r="C159" i="31"/>
  <c r="C166" i="31"/>
  <c r="C156" i="31"/>
  <c r="D211" i="31"/>
  <c r="E211" i="31"/>
  <c r="F211" i="31"/>
  <c r="H211" i="31" s="1"/>
  <c r="C222" i="31"/>
  <c r="C393" i="31"/>
  <c r="C327" i="31"/>
  <c r="C368" i="31"/>
  <c r="C418" i="31"/>
  <c r="D132" i="31"/>
  <c r="C133" i="31"/>
  <c r="E44" i="31"/>
  <c r="F44" i="31"/>
  <c r="H44" i="31" s="1"/>
  <c r="C45" i="31"/>
  <c r="E45" i="31"/>
  <c r="F45" i="31"/>
  <c r="H45" i="31" s="1"/>
  <c r="E38" i="31"/>
  <c r="F38" i="31"/>
  <c r="H38" i="31" s="1"/>
  <c r="D199" i="31"/>
  <c r="C200" i="31"/>
  <c r="E116" i="31"/>
  <c r="F116" i="31"/>
  <c r="H116" i="31" s="1"/>
  <c r="E180" i="31"/>
  <c r="F180" i="31"/>
  <c r="H180" i="31" s="1"/>
  <c r="E182" i="31"/>
  <c r="F182" i="31"/>
  <c r="H182" i="31" s="1"/>
  <c r="C405" i="31"/>
  <c r="C302" i="31"/>
  <c r="C297" i="31"/>
  <c r="C298" i="31"/>
  <c r="C341" i="31"/>
  <c r="C377" i="31"/>
  <c r="C343" i="31"/>
  <c r="C234" i="31"/>
  <c r="C406" i="31"/>
  <c r="E222" i="31"/>
  <c r="F222" i="31"/>
  <c r="H222" i="31" s="1"/>
  <c r="C188" i="31"/>
  <c r="E188" i="31"/>
  <c r="F188" i="31"/>
  <c r="H188" i="31" s="1"/>
  <c r="E187" i="31"/>
  <c r="F187" i="31"/>
  <c r="H187" i="31" s="1"/>
  <c r="C178" i="31"/>
  <c r="D187" i="31"/>
  <c r="D188" i="31"/>
  <c r="E177" i="31"/>
  <c r="F177" i="31"/>
  <c r="H177" i="31" s="1"/>
  <c r="C290" i="31"/>
  <c r="D185" i="31"/>
  <c r="E185" i="31"/>
  <c r="F185" i="31"/>
  <c r="H185" i="31" s="1"/>
  <c r="D112" i="31"/>
  <c r="C113" i="31"/>
  <c r="C195" i="31"/>
  <c r="D203" i="31"/>
  <c r="C196" i="31"/>
  <c r="D193" i="31"/>
  <c r="D201" i="31"/>
  <c r="E201" i="31"/>
  <c r="F201" i="31"/>
  <c r="H201" i="31" s="1"/>
  <c r="C194" i="31"/>
  <c r="C398" i="31"/>
  <c r="D222" i="31"/>
  <c r="C223" i="31"/>
  <c r="D212" i="31"/>
  <c r="D220" i="31"/>
  <c r="E220" i="31"/>
  <c r="F220" i="31"/>
  <c r="H220" i="31" s="1"/>
  <c r="C215" i="31"/>
  <c r="C213" i="31"/>
  <c r="C214" i="31"/>
  <c r="E158" i="31"/>
  <c r="F158" i="31"/>
  <c r="H158" i="31" s="1"/>
  <c r="C148" i="31"/>
  <c r="D140" i="31"/>
  <c r="D181" i="31"/>
  <c r="E181" i="31"/>
  <c r="F181" i="31"/>
  <c r="H181" i="31" s="1"/>
  <c r="E174" i="31"/>
  <c r="F174" i="31"/>
  <c r="H174" i="31" s="1"/>
  <c r="C161" i="31"/>
  <c r="D143" i="31"/>
  <c r="E143" i="31"/>
  <c r="F143" i="31"/>
  <c r="H143" i="31" s="1"/>
  <c r="C140" i="31"/>
  <c r="C147" i="31"/>
  <c r="D176" i="31"/>
  <c r="E176" i="31"/>
  <c r="F176" i="31"/>
  <c r="H176" i="31" s="1"/>
  <c r="D166" i="31"/>
  <c r="E166" i="31"/>
  <c r="F166" i="31"/>
  <c r="H166" i="31" s="1"/>
  <c r="D163" i="31"/>
  <c r="D165" i="31"/>
  <c r="E165" i="31"/>
  <c r="F165" i="31"/>
  <c r="H165" i="31" s="1"/>
  <c r="D155" i="31"/>
  <c r="E155" i="31"/>
  <c r="F155" i="31"/>
  <c r="H155" i="31" s="1"/>
  <c r="D159" i="31"/>
  <c r="E159" i="31"/>
  <c r="F159" i="31"/>
  <c r="H159" i="31" s="1"/>
  <c r="D156" i="31"/>
  <c r="E156" i="31"/>
  <c r="F156" i="31"/>
  <c r="H156" i="31" s="1"/>
  <c r="D152" i="31"/>
  <c r="D158" i="31"/>
  <c r="D157" i="31"/>
  <c r="E157" i="31"/>
  <c r="F157" i="31"/>
  <c r="H157" i="31" s="1"/>
  <c r="D164" i="31"/>
  <c r="E164" i="31"/>
  <c r="F164" i="31"/>
  <c r="H164" i="31" s="1"/>
  <c r="E142" i="31"/>
  <c r="F142" i="31"/>
  <c r="H142" i="31" s="1"/>
  <c r="E154" i="31"/>
  <c r="F154" i="31"/>
  <c r="H154" i="31" s="1"/>
  <c r="C228" i="31"/>
  <c r="C372" i="31"/>
  <c r="E218" i="31"/>
  <c r="F218" i="31"/>
  <c r="H218" i="31" s="1"/>
  <c r="C331" i="31"/>
  <c r="D133" i="31"/>
  <c r="C134" i="31"/>
  <c r="D175" i="31"/>
  <c r="E175" i="31"/>
  <c r="F175" i="31"/>
  <c r="H175" i="31" s="1"/>
  <c r="E132" i="31"/>
  <c r="F132" i="31"/>
  <c r="H132" i="31" s="1"/>
  <c r="D123" i="31"/>
  <c r="C124" i="31"/>
  <c r="E123" i="31"/>
  <c r="F123" i="31"/>
  <c r="H123" i="31" s="1"/>
  <c r="D195" i="31"/>
  <c r="E195" i="31"/>
  <c r="F195" i="31"/>
  <c r="H195" i="31" s="1"/>
  <c r="D134" i="31"/>
  <c r="C135" i="31"/>
  <c r="E134" i="31"/>
  <c r="F134" i="31"/>
  <c r="H134" i="31" s="1"/>
  <c r="D214" i="31"/>
  <c r="E214" i="31"/>
  <c r="F214" i="31"/>
  <c r="H214" i="31" s="1"/>
  <c r="E113" i="31"/>
  <c r="F113" i="31"/>
  <c r="H113" i="31" s="1"/>
  <c r="C112" i="31"/>
  <c r="D110" i="31"/>
  <c r="C110" i="31"/>
  <c r="D194" i="31"/>
  <c r="E194" i="31"/>
  <c r="F194" i="31"/>
  <c r="H194" i="31" s="1"/>
  <c r="E133" i="31"/>
  <c r="F133" i="31"/>
  <c r="H133" i="31" s="1"/>
  <c r="D223" i="31"/>
  <c r="E223" i="31"/>
  <c r="F223" i="31"/>
  <c r="H223" i="31" s="1"/>
  <c r="D124" i="31"/>
  <c r="E124" i="31"/>
  <c r="F124" i="31"/>
  <c r="H124" i="31" s="1"/>
  <c r="D178" i="31"/>
  <c r="D232" i="31"/>
  <c r="C206" i="31"/>
  <c r="D196" i="31"/>
  <c r="E196" i="31"/>
  <c r="F196" i="31"/>
  <c r="H196" i="31" s="1"/>
  <c r="D148" i="31"/>
  <c r="C149" i="31"/>
  <c r="D161" i="31"/>
  <c r="D213" i="31"/>
  <c r="E213" i="31"/>
  <c r="F213" i="31"/>
  <c r="H213" i="31" s="1"/>
  <c r="C225" i="31"/>
  <c r="D215" i="31"/>
  <c r="E215" i="31"/>
  <c r="F215" i="31"/>
  <c r="H215" i="31" s="1"/>
  <c r="D219" i="31"/>
  <c r="E219" i="31"/>
  <c r="F219" i="31"/>
  <c r="H219" i="31" s="1"/>
  <c r="E212" i="31"/>
  <c r="F212" i="31"/>
  <c r="H212" i="31" s="1"/>
  <c r="C150" i="31"/>
  <c r="D147" i="31"/>
  <c r="E163" i="31"/>
  <c r="F163" i="31"/>
  <c r="H163" i="31" s="1"/>
  <c r="E193" i="31"/>
  <c r="F193" i="31"/>
  <c r="H193" i="31" s="1"/>
  <c r="D200" i="31"/>
  <c r="E200" i="31"/>
  <c r="F200" i="31"/>
  <c r="H200" i="31" s="1"/>
  <c r="C204" i="31"/>
  <c r="E203" i="31"/>
  <c r="F203" i="31"/>
  <c r="H203" i="31" s="1"/>
  <c r="D204" i="31"/>
  <c r="E204" i="31"/>
  <c r="F204" i="31"/>
  <c r="H204" i="31" s="1"/>
  <c r="E148" i="31"/>
  <c r="F148" i="31"/>
  <c r="H148" i="31" s="1"/>
  <c r="D109" i="31"/>
  <c r="C109" i="31"/>
  <c r="E110" i="31"/>
  <c r="F110" i="31"/>
  <c r="H110" i="31" s="1"/>
  <c r="D111" i="31"/>
  <c r="C111" i="31"/>
  <c r="E111" i="31"/>
  <c r="F111" i="31"/>
  <c r="H111" i="31" s="1"/>
  <c r="E112" i="31"/>
  <c r="F112" i="31"/>
  <c r="H112" i="31" s="1"/>
  <c r="C216" i="31"/>
  <c r="D225" i="31"/>
  <c r="D226" i="31"/>
  <c r="E225" i="31"/>
  <c r="F225" i="31"/>
  <c r="H225" i="31" s="1"/>
  <c r="C226" i="31"/>
  <c r="E226" i="31"/>
  <c r="F226" i="31"/>
  <c r="H226" i="31" s="1"/>
  <c r="D149" i="31"/>
  <c r="D150" i="31"/>
  <c r="E150" i="31"/>
  <c r="F150" i="31"/>
  <c r="H150" i="31" s="1"/>
  <c r="D206" i="31"/>
  <c r="D207" i="31"/>
  <c r="C197" i="31"/>
  <c r="C207" i="31"/>
  <c r="E207" i="31"/>
  <c r="F207" i="31"/>
  <c r="H207" i="31" s="1"/>
  <c r="E206" i="31"/>
  <c r="F206" i="31"/>
  <c r="H206" i="31" s="1"/>
  <c r="D145" i="31"/>
  <c r="D137" i="31"/>
  <c r="D302" i="31"/>
  <c r="E302" i="31"/>
  <c r="F302" i="31"/>
  <c r="H302" i="31" s="1"/>
  <c r="D297" i="31"/>
  <c r="E297" i="31"/>
  <c r="F297" i="31"/>
  <c r="H297" i="31" s="1"/>
  <c r="D380" i="31"/>
  <c r="E380" i="31"/>
  <c r="F380" i="31"/>
  <c r="H380" i="31" s="1"/>
  <c r="D343" i="31"/>
  <c r="E343" i="31"/>
  <c r="F343" i="31"/>
  <c r="H343" i="31" s="1"/>
  <c r="D240" i="31"/>
  <c r="E240" i="31"/>
  <c r="F240" i="31"/>
  <c r="H240" i="31" s="1"/>
  <c r="D294" i="31"/>
  <c r="D246" i="31"/>
  <c r="E246" i="31"/>
  <c r="F246" i="31"/>
  <c r="H246" i="31" s="1"/>
  <c r="D303" i="31"/>
  <c r="E303" i="31"/>
  <c r="F303" i="31"/>
  <c r="H303" i="31" s="1"/>
  <c r="D237" i="31"/>
  <c r="E237" i="31"/>
  <c r="F237" i="31"/>
  <c r="H237" i="31" s="1"/>
  <c r="D402" i="31"/>
  <c r="D335" i="31"/>
  <c r="D379" i="31"/>
  <c r="E379" i="31"/>
  <c r="F379" i="31"/>
  <c r="H379" i="31" s="1"/>
  <c r="D247" i="31"/>
  <c r="E247" i="31"/>
  <c r="F247" i="31"/>
  <c r="H247" i="31" s="1"/>
  <c r="D298" i="31"/>
  <c r="E298" i="31"/>
  <c r="F298" i="31"/>
  <c r="H298" i="31" s="1"/>
  <c r="D376" i="31"/>
  <c r="D339" i="31"/>
  <c r="E339" i="31"/>
  <c r="F339" i="31"/>
  <c r="H339" i="31" s="1"/>
  <c r="D406" i="31"/>
  <c r="E406" i="31"/>
  <c r="F406" i="31"/>
  <c r="H406" i="31" s="1"/>
  <c r="D243" i="31"/>
  <c r="E243" i="31"/>
  <c r="F243" i="31"/>
  <c r="H243" i="31" s="1"/>
  <c r="D236" i="31"/>
  <c r="E236" i="31"/>
  <c r="F236" i="31"/>
  <c r="H236" i="31" s="1"/>
  <c r="D405" i="31"/>
  <c r="E405" i="31"/>
  <c r="F405" i="31"/>
  <c r="H405" i="31" s="1"/>
  <c r="D336" i="31"/>
  <c r="E336" i="31"/>
  <c r="F336" i="31"/>
  <c r="H336" i="31" s="1"/>
  <c r="D295" i="31"/>
  <c r="E295" i="31"/>
  <c r="F295" i="31"/>
  <c r="H295" i="31" s="1"/>
  <c r="D403" i="31"/>
  <c r="E403" i="31"/>
  <c r="F403" i="31"/>
  <c r="H403" i="31" s="1"/>
  <c r="D344" i="31"/>
  <c r="E344" i="31"/>
  <c r="F344" i="31"/>
  <c r="H344" i="31" s="1"/>
  <c r="D342" i="31"/>
  <c r="E342" i="31"/>
  <c r="F342" i="31"/>
  <c r="H342" i="31" s="1"/>
  <c r="D233" i="31"/>
  <c r="E233" i="31"/>
  <c r="F233" i="31"/>
  <c r="H233" i="31" s="1"/>
  <c r="D301" i="31"/>
  <c r="E301" i="31"/>
  <c r="F301" i="31"/>
  <c r="H301" i="31" s="1"/>
  <c r="D242" i="31"/>
  <c r="E242" i="31"/>
  <c r="F242" i="31"/>
  <c r="H242" i="31" s="1"/>
  <c r="D300" i="31"/>
  <c r="E300" i="31"/>
  <c r="F300" i="31"/>
  <c r="H300" i="31" s="1"/>
  <c r="D341" i="31"/>
  <c r="E341" i="31"/>
  <c r="F341" i="31"/>
  <c r="H341" i="31" s="1"/>
  <c r="D248" i="31"/>
  <c r="E248" i="31"/>
  <c r="F248" i="31"/>
  <c r="H248" i="31" s="1"/>
  <c r="D234" i="31"/>
  <c r="E234" i="31"/>
  <c r="F234" i="31"/>
  <c r="H234" i="31" s="1"/>
  <c r="D377" i="31"/>
  <c r="E377" i="31"/>
  <c r="F377" i="31"/>
  <c r="H377" i="31" s="1"/>
  <c r="E232" i="31"/>
  <c r="F232" i="31"/>
  <c r="H232" i="31" s="1"/>
  <c r="D245" i="31"/>
  <c r="E245" i="31"/>
  <c r="F245" i="31"/>
  <c r="H245" i="31" s="1"/>
  <c r="D239" i="31"/>
  <c r="E239" i="31"/>
  <c r="F239" i="31"/>
  <c r="H239" i="31" s="1"/>
  <c r="D338" i="31"/>
  <c r="E338" i="31"/>
  <c r="F338" i="31"/>
  <c r="H338" i="31" s="1"/>
  <c r="C145" i="31"/>
  <c r="C137" i="31"/>
  <c r="E178" i="31"/>
  <c r="F178" i="31"/>
  <c r="H178" i="31" s="1"/>
  <c r="D135" i="31"/>
  <c r="E135" i="31"/>
  <c r="F135" i="31"/>
  <c r="H135" i="31" s="1"/>
  <c r="E147" i="31"/>
  <c r="F147" i="31"/>
  <c r="H147" i="31" s="1"/>
  <c r="E149" i="31"/>
  <c r="F149" i="31"/>
  <c r="H149" i="31" s="1"/>
  <c r="E335" i="31"/>
  <c r="F335" i="31"/>
  <c r="H335" i="31" s="1"/>
  <c r="E402" i="31"/>
  <c r="F402" i="31"/>
  <c r="D216" i="31"/>
  <c r="D252" i="31"/>
  <c r="E216" i="31"/>
  <c r="F216" i="31"/>
  <c r="H216" i="31" s="1"/>
  <c r="E137" i="31"/>
  <c r="F137" i="31"/>
  <c r="D197" i="31"/>
  <c r="D168" i="31"/>
  <c r="E197" i="31"/>
  <c r="F197" i="31"/>
  <c r="H197" i="31" s="1"/>
  <c r="C168" i="31"/>
  <c r="E168" i="31"/>
  <c r="F168" i="31"/>
  <c r="E376" i="31"/>
  <c r="F376" i="31"/>
  <c r="H376" i="31" s="1"/>
  <c r="E294" i="31"/>
  <c r="F294" i="31"/>
  <c r="E109" i="31"/>
  <c r="F109" i="31"/>
  <c r="H109" i="31" s="1"/>
  <c r="D108" i="31"/>
  <c r="C108" i="31"/>
  <c r="D328" i="31"/>
  <c r="E328" i="31"/>
  <c r="F328" i="31"/>
  <c r="H328" i="31" s="1"/>
  <c r="D323" i="31"/>
  <c r="E323" i="31"/>
  <c r="F323" i="31"/>
  <c r="H323" i="31" s="1"/>
  <c r="D315" i="31"/>
  <c r="E315" i="31"/>
  <c r="F315" i="31"/>
  <c r="H315" i="31" s="1"/>
  <c r="D310" i="31"/>
  <c r="E310" i="31"/>
  <c r="F310" i="31"/>
  <c r="H310" i="31" s="1"/>
  <c r="D396" i="31"/>
  <c r="E396" i="31"/>
  <c r="F396" i="31"/>
  <c r="H396" i="31" s="1"/>
  <c r="D388" i="31"/>
  <c r="E388" i="31"/>
  <c r="F388" i="31"/>
  <c r="H388" i="31" s="1"/>
  <c r="D308" i="31"/>
  <c r="E308" i="31"/>
  <c r="F308" i="31"/>
  <c r="H308" i="31" s="1"/>
  <c r="D266" i="31"/>
  <c r="E266" i="31"/>
  <c r="F266" i="31"/>
  <c r="H266" i="31" s="1"/>
  <c r="D414" i="31"/>
  <c r="E414" i="31"/>
  <c r="F414" i="31"/>
  <c r="H414" i="31" s="1"/>
  <c r="D365" i="31"/>
  <c r="E365" i="31"/>
  <c r="F365" i="31"/>
  <c r="H365" i="31" s="1"/>
  <c r="D286" i="31"/>
  <c r="E286" i="31"/>
  <c r="F286" i="31"/>
  <c r="H286" i="31" s="1"/>
  <c r="D411" i="31"/>
  <c r="E411" i="31"/>
  <c r="F411" i="31"/>
  <c r="H411" i="31" s="1"/>
  <c r="D355" i="31"/>
  <c r="E355" i="31"/>
  <c r="F355" i="31"/>
  <c r="H355" i="31" s="1"/>
  <c r="D320" i="31"/>
  <c r="E320" i="31"/>
  <c r="F320" i="31"/>
  <c r="H320" i="31" s="1"/>
  <c r="D283" i="31"/>
  <c r="E283" i="31"/>
  <c r="F283" i="31"/>
  <c r="H283" i="31" s="1"/>
  <c r="D263" i="31"/>
  <c r="E263" i="31"/>
  <c r="F263" i="31"/>
  <c r="H263" i="31" s="1"/>
  <c r="D385" i="31"/>
  <c r="E385" i="31"/>
  <c r="F385" i="31"/>
  <c r="H385" i="31" s="1"/>
  <c r="D348" i="31"/>
  <c r="D268" i="31"/>
  <c r="E268" i="31"/>
  <c r="F268" i="31"/>
  <c r="H268" i="31" s="1"/>
  <c r="D413" i="31"/>
  <c r="E413" i="31"/>
  <c r="F413" i="31"/>
  <c r="H413" i="31" s="1"/>
  <c r="D273" i="31"/>
  <c r="E273" i="31"/>
  <c r="F273" i="31"/>
  <c r="H273" i="31" s="1"/>
  <c r="D422" i="31"/>
  <c r="E422" i="31"/>
  <c r="F422" i="31"/>
  <c r="H422" i="31" s="1"/>
  <c r="D392" i="31"/>
  <c r="E392" i="31"/>
  <c r="F392" i="31"/>
  <c r="H392" i="31" s="1"/>
  <c r="D352" i="31"/>
  <c r="E352" i="31"/>
  <c r="F352" i="31"/>
  <c r="H352" i="31" s="1"/>
  <c r="D256" i="31"/>
  <c r="E256" i="31"/>
  <c r="F256" i="31"/>
  <c r="H256" i="31" s="1"/>
  <c r="D369" i="31"/>
  <c r="E369" i="31"/>
  <c r="F369" i="31"/>
  <c r="H369" i="31" s="1"/>
  <c r="D361" i="31"/>
  <c r="E361" i="31"/>
  <c r="F361" i="31"/>
  <c r="H361" i="31" s="1"/>
  <c r="D349" i="31"/>
  <c r="E349" i="31"/>
  <c r="F349" i="31"/>
  <c r="H349" i="31" s="1"/>
  <c r="D313" i="31"/>
  <c r="E313" i="31"/>
  <c r="F313" i="31"/>
  <c r="H313" i="31" s="1"/>
  <c r="D277" i="31"/>
  <c r="E277" i="31"/>
  <c r="F277" i="31"/>
  <c r="H277" i="31" s="1"/>
  <c r="D356" i="31"/>
  <c r="E356" i="31"/>
  <c r="F356" i="31"/>
  <c r="H356" i="31" s="1"/>
  <c r="D329" i="31"/>
  <c r="E329" i="31"/>
  <c r="F329" i="31"/>
  <c r="H329" i="31" s="1"/>
  <c r="D321" i="31"/>
  <c r="E321" i="31"/>
  <c r="F321" i="31"/>
  <c r="H321" i="31" s="1"/>
  <c r="D267" i="31"/>
  <c r="E267" i="31"/>
  <c r="F267" i="31"/>
  <c r="H267" i="31" s="1"/>
  <c r="D260" i="31"/>
  <c r="E260" i="31"/>
  <c r="F260" i="31"/>
  <c r="H260" i="31" s="1"/>
  <c r="D418" i="31"/>
  <c r="E418" i="31"/>
  <c r="F418" i="31"/>
  <c r="H418" i="31" s="1"/>
  <c r="D311" i="31"/>
  <c r="E311" i="31"/>
  <c r="F311" i="31"/>
  <c r="H311" i="31" s="1"/>
  <c r="D285" i="31"/>
  <c r="E285" i="31"/>
  <c r="F285" i="31"/>
  <c r="H285" i="31" s="1"/>
  <c r="D276" i="31"/>
  <c r="E276" i="31"/>
  <c r="F276" i="31"/>
  <c r="H276" i="31" s="1"/>
  <c r="D362" i="31"/>
  <c r="E362" i="31"/>
  <c r="F362" i="31"/>
  <c r="H362" i="31" s="1"/>
  <c r="D421" i="31"/>
  <c r="E421" i="31"/>
  <c r="F421" i="31"/>
  <c r="H421" i="31" s="1"/>
  <c r="D282" i="31"/>
  <c r="E282" i="31"/>
  <c r="F282" i="31"/>
  <c r="H282" i="31" s="1"/>
  <c r="D257" i="31"/>
  <c r="E257" i="31"/>
  <c r="F257" i="31"/>
  <c r="H257" i="31" s="1"/>
  <c r="D419" i="31"/>
  <c r="E419" i="31"/>
  <c r="F419" i="31"/>
  <c r="H419" i="31" s="1"/>
  <c r="D307" i="31"/>
  <c r="D387" i="31"/>
  <c r="E387" i="31"/>
  <c r="F387" i="31"/>
  <c r="H387" i="31" s="1"/>
  <c r="D280" i="31"/>
  <c r="E280" i="31"/>
  <c r="F280" i="31"/>
  <c r="H280" i="31" s="1"/>
  <c r="D384" i="31"/>
  <c r="D316" i="31"/>
  <c r="E316" i="31"/>
  <c r="F316" i="31"/>
  <c r="H316" i="31" s="1"/>
  <c r="D265" i="31"/>
  <c r="E265" i="31"/>
  <c r="F265" i="31"/>
  <c r="H265" i="31" s="1"/>
  <c r="D254" i="31"/>
  <c r="E254" i="31"/>
  <c r="F254" i="31"/>
  <c r="H254" i="31" s="1"/>
  <c r="D288" i="31"/>
  <c r="E288" i="31"/>
  <c r="F288" i="31"/>
  <c r="H288" i="31" s="1"/>
  <c r="D253" i="31"/>
  <c r="E253" i="31"/>
  <c r="F253" i="31"/>
  <c r="H253" i="31" s="1"/>
  <c r="D393" i="31"/>
  <c r="E393" i="31"/>
  <c r="F393" i="31"/>
  <c r="H393" i="31" s="1"/>
  <c r="D259" i="31"/>
  <c r="E259" i="31"/>
  <c r="F259" i="31"/>
  <c r="H259" i="31" s="1"/>
  <c r="D367" i="31"/>
  <c r="E367" i="31"/>
  <c r="F367" i="31"/>
  <c r="H367" i="31" s="1"/>
  <c r="D326" i="31"/>
  <c r="E326" i="31"/>
  <c r="F326" i="31"/>
  <c r="H326" i="31" s="1"/>
  <c r="D279" i="31"/>
  <c r="E279" i="31"/>
  <c r="F279" i="31"/>
  <c r="H279" i="31" s="1"/>
  <c r="D324" i="31"/>
  <c r="E324" i="31"/>
  <c r="F324" i="31"/>
  <c r="H324" i="31" s="1"/>
  <c r="D354" i="31"/>
  <c r="E354" i="31"/>
  <c r="F354" i="31"/>
  <c r="H354" i="31" s="1"/>
  <c r="D272" i="31"/>
  <c r="E272" i="31"/>
  <c r="F272" i="31"/>
  <c r="H272" i="31" s="1"/>
  <c r="D287" i="31"/>
  <c r="E287" i="31"/>
  <c r="F287" i="31"/>
  <c r="H287" i="31" s="1"/>
  <c r="D351" i="31"/>
  <c r="E351" i="31"/>
  <c r="F351" i="31"/>
  <c r="H351" i="31" s="1"/>
  <c r="D395" i="31"/>
  <c r="E395" i="31"/>
  <c r="F395" i="31"/>
  <c r="H395" i="31" s="1"/>
  <c r="D370" i="31"/>
  <c r="E370" i="31"/>
  <c r="F370" i="31"/>
  <c r="H370" i="31" s="1"/>
  <c r="D262" i="31"/>
  <c r="E262" i="31"/>
  <c r="F262" i="31"/>
  <c r="H262" i="31" s="1"/>
  <c r="D368" i="31"/>
  <c r="E368" i="31"/>
  <c r="F368" i="31"/>
  <c r="H368" i="31" s="1"/>
  <c r="D327" i="31"/>
  <c r="E327" i="31"/>
  <c r="F327" i="31"/>
  <c r="H327" i="31" s="1"/>
  <c r="D364" i="31"/>
  <c r="E364" i="31"/>
  <c r="F364" i="31"/>
  <c r="H364" i="31" s="1"/>
  <c r="D410" i="31"/>
  <c r="D274" i="31"/>
  <c r="E274" i="31"/>
  <c r="F274" i="31"/>
  <c r="H274" i="31" s="1"/>
  <c r="D357" i="31"/>
  <c r="E357" i="31"/>
  <c r="F357" i="31"/>
  <c r="H357" i="31" s="1"/>
  <c r="D314" i="31"/>
  <c r="E314" i="31"/>
  <c r="F314" i="31"/>
  <c r="H314" i="31" s="1"/>
  <c r="E252" i="31"/>
  <c r="F252" i="31"/>
  <c r="H252" i="31" s="1"/>
  <c r="D104" i="31"/>
  <c r="E108" i="31"/>
  <c r="F108" i="31"/>
  <c r="H108" i="31" s="1"/>
  <c r="E384" i="31"/>
  <c r="F384" i="31"/>
  <c r="H384" i="31" s="1"/>
  <c r="D372" i="31"/>
  <c r="E372" i="31"/>
  <c r="F372" i="31"/>
  <c r="E348" i="31"/>
  <c r="F348" i="31"/>
  <c r="H348" i="31" s="1"/>
  <c r="D331" i="31"/>
  <c r="E331" i="31"/>
  <c r="F331" i="31"/>
  <c r="E410" i="31"/>
  <c r="F410" i="31"/>
  <c r="H410" i="31" s="1"/>
  <c r="D398" i="31"/>
  <c r="D100" i="31"/>
  <c r="C104" i="31"/>
  <c r="D228" i="31"/>
  <c r="E228" i="31"/>
  <c r="F228" i="31"/>
  <c r="E307" i="31"/>
  <c r="F307" i="31"/>
  <c r="H307" i="31" s="1"/>
  <c r="D290" i="31"/>
  <c r="E290" i="31"/>
  <c r="F290" i="31"/>
  <c r="D90" i="31"/>
  <c r="C90" i="31"/>
  <c r="C100" i="31"/>
  <c r="E100" i="31"/>
  <c r="F100" i="31"/>
  <c r="E104" i="31"/>
  <c r="F104" i="31"/>
  <c r="H104" i="31" s="1"/>
  <c r="D2" i="31"/>
  <c r="E2" i="31"/>
  <c r="F2" i="31"/>
  <c r="E398" i="31"/>
  <c r="F398" i="31"/>
  <c r="E90" i="31"/>
  <c r="F90" i="31"/>
  <c r="H90" i="31" s="1"/>
  <c r="D89" i="31"/>
  <c r="C89" i="31"/>
  <c r="D88" i="31"/>
  <c r="E89" i="31"/>
  <c r="F89" i="31"/>
  <c r="H89" i="31" s="1"/>
  <c r="C88" i="31"/>
  <c r="E88" i="31"/>
  <c r="F88" i="31"/>
  <c r="H88" i="31" s="1"/>
  <c r="C92" i="31"/>
  <c r="D82" i="31"/>
  <c r="E82" i="31"/>
  <c r="F82" i="31"/>
  <c r="H82" i="31" s="1"/>
  <c r="D74" i="31"/>
  <c r="E74" i="31"/>
  <c r="F74" i="31"/>
  <c r="H74" i="31" s="1"/>
  <c r="D56" i="31"/>
  <c r="D80" i="31"/>
  <c r="E80" i="31"/>
  <c r="F80" i="31"/>
  <c r="H80" i="31" s="1"/>
  <c r="D65" i="31"/>
  <c r="E65" i="31"/>
  <c r="F65" i="31"/>
  <c r="H65" i="31" s="1"/>
  <c r="D66" i="31"/>
  <c r="E66" i="31"/>
  <c r="F66" i="31"/>
  <c r="H66" i="31" s="1"/>
  <c r="D79" i="31"/>
  <c r="E79" i="31"/>
  <c r="F79" i="31"/>
  <c r="H79" i="31" s="1"/>
  <c r="D78" i="31"/>
  <c r="E78" i="31"/>
  <c r="F78" i="31"/>
  <c r="H78" i="31" s="1"/>
  <c r="D64" i="31"/>
  <c r="D73" i="31"/>
  <c r="E73" i="31"/>
  <c r="F73" i="31"/>
  <c r="H73" i="31" s="1"/>
  <c r="D69" i="31"/>
  <c r="E69" i="31"/>
  <c r="F69" i="31"/>
  <c r="H69" i="31" s="1"/>
  <c r="D81" i="31"/>
  <c r="E81" i="31"/>
  <c r="F81" i="31"/>
  <c r="H81" i="31" s="1"/>
  <c r="D68" i="31"/>
  <c r="E68" i="31"/>
  <c r="F68" i="31"/>
  <c r="H68" i="31" s="1"/>
  <c r="D67" i="31"/>
  <c r="E67" i="31"/>
  <c r="F67" i="31"/>
  <c r="H67" i="31" s="1"/>
  <c r="D92" i="31"/>
  <c r="C96" i="31"/>
  <c r="E92" i="31"/>
  <c r="F92" i="31"/>
  <c r="H92" i="31" s="1"/>
  <c r="D58" i="31"/>
  <c r="E58" i="31"/>
  <c r="F58" i="31"/>
  <c r="E64" i="31"/>
  <c r="F64" i="31"/>
  <c r="H64" i="31" s="1"/>
  <c r="E56" i="31"/>
  <c r="F56" i="31"/>
  <c r="H56" i="31" s="1"/>
  <c r="D14" i="31"/>
  <c r="E14" i="31"/>
  <c r="F14" i="31"/>
  <c r="D96" i="31"/>
  <c r="C97" i="31"/>
  <c r="C93" i="31"/>
  <c r="D93" i="31"/>
  <c r="D97" i="31"/>
  <c r="C98" i="31"/>
  <c r="E97" i="31"/>
  <c r="F97" i="31"/>
  <c r="H97" i="31" s="1"/>
  <c r="E96" i="31"/>
  <c r="F96" i="31"/>
  <c r="H96" i="31" s="1"/>
  <c r="D98" i="31"/>
  <c r="E98" i="31"/>
  <c r="F98" i="31"/>
  <c r="H98" i="31" s="1"/>
  <c r="C94" i="31"/>
  <c r="E93" i="31"/>
  <c r="F93" i="31"/>
  <c r="H93" i="31" s="1"/>
  <c r="D94" i="31"/>
  <c r="D84" i="31"/>
  <c r="E94" i="31"/>
  <c r="F94" i="31"/>
  <c r="H94" i="31" s="1"/>
  <c r="C84" i="31"/>
  <c r="E84" i="31"/>
  <c r="F84" i="31"/>
  <c r="F46" i="29" l="1"/>
  <c r="D15" i="29"/>
  <c r="F14" i="29"/>
  <c r="F7" i="29"/>
  <c r="F291" i="31"/>
  <c r="G290" i="31" s="1"/>
  <c r="F101" i="31"/>
  <c r="G100" i="31" s="1"/>
  <c r="F59" i="31"/>
  <c r="G58" i="31" s="1"/>
  <c r="F138" i="31"/>
  <c r="G137" i="31" s="1"/>
  <c r="F373" i="31"/>
  <c r="G372" i="31" s="1"/>
  <c r="F15" i="31"/>
  <c r="G14" i="31" s="1"/>
  <c r="F399" i="31"/>
  <c r="G398" i="31" s="1"/>
  <c r="F229" i="31"/>
  <c r="G228" i="31" s="1"/>
  <c r="H228" i="31" s="1"/>
  <c r="H402" i="31"/>
  <c r="F85" i="31"/>
  <c r="G84" i="31" s="1"/>
  <c r="F6" i="31"/>
  <c r="H294" i="31"/>
  <c r="H17" i="31"/>
  <c r="H63" i="31"/>
  <c r="F332" i="31"/>
  <c r="G331" i="31" s="1"/>
  <c r="F169" i="31"/>
  <c r="G168" i="31" s="1"/>
  <c r="H168" i="31" s="1"/>
  <c r="F15" i="29" l="1"/>
  <c r="F3" i="31"/>
  <c r="G5" i="31"/>
  <c r="G3" i="31" s="1"/>
  <c r="G2" i="31" l="1"/>
  <c r="J2" i="31" s="1"/>
  <c r="H2" i="31" l="1"/>
</calcChain>
</file>

<file path=xl/sharedStrings.xml><?xml version="1.0" encoding="utf-8"?>
<sst xmlns="http://schemas.openxmlformats.org/spreadsheetml/2006/main" count="825" uniqueCount="294">
  <si>
    <t>EXPANSIÓN ORGÁNICA</t>
  </si>
  <si>
    <t>EXPANSIÓN Y NUEVOS NEGOCIOS</t>
  </si>
  <si>
    <t>Eduardo Rios</t>
  </si>
  <si>
    <t>Expansión</t>
  </si>
  <si>
    <t>Diseño Arquitectónico</t>
  </si>
  <si>
    <t>Operaciones</t>
  </si>
  <si>
    <t>Administración y Finanzas</t>
  </si>
  <si>
    <t>Tesorera</t>
  </si>
  <si>
    <t>Compras</t>
  </si>
  <si>
    <t>Coord. Desarrollo Integral</t>
  </si>
  <si>
    <t>Coord. Estructura Organizacional</t>
  </si>
  <si>
    <t>Diseño Arqutiectónico</t>
  </si>
  <si>
    <t xml:space="preserve">Responsable: 
</t>
  </si>
  <si>
    <t>FECHA INICIO</t>
  </si>
  <si>
    <t>FECHA FIN</t>
  </si>
  <si>
    <t>DÍAS</t>
  </si>
  <si>
    <t>ESPERADO</t>
  </si>
  <si>
    <t>REAL (Est.)</t>
  </si>
  <si>
    <t>ESTATUS</t>
  </si>
  <si>
    <t>KPI CUMPLIMIENTO DEL CRONOGRAMA</t>
  </si>
  <si>
    <t>PROM</t>
  </si>
  <si>
    <t>PROYECTO</t>
  </si>
  <si>
    <t>RESPONSABLE</t>
  </si>
  <si>
    <t>delete</t>
  </si>
  <si>
    <t>Fase 1: Definición de recursos del proyecto</t>
  </si>
  <si>
    <t>Kick-Off: reunión de arranque con el equipo clave (mismo de Expansión Nacional)</t>
  </si>
  <si>
    <t>Adm. Proyectos Arquitectónicos</t>
  </si>
  <si>
    <t>Ensamblar actividades en cronograma</t>
  </si>
  <si>
    <t>Revisión del cronograma con TDN</t>
  </si>
  <si>
    <t>Taller para definir CJ #1</t>
  </si>
  <si>
    <t>Revisar que CADUMA esté incluyendo inhumaciones, cremación y funeraria en los estudios</t>
  </si>
  <si>
    <t>Fase 2: Analisis y planeacion del diseño del proyecto</t>
  </si>
  <si>
    <t>CTLA Chihuahua</t>
  </si>
  <si>
    <t>Prom</t>
  </si>
  <si>
    <t>Solicitud del crédito</t>
  </si>
  <si>
    <t>Financiera</t>
  </si>
  <si>
    <t>Revisar los proyectos de TLA con respecto al CJ y elementos centrales con equipo técnico</t>
  </si>
  <si>
    <t>Definir con dirección el proceso para búsqueda del local</t>
  </si>
  <si>
    <t>Definición de responsable para búsqueda de locales</t>
  </si>
  <si>
    <t>Supervisor de Construcción</t>
  </si>
  <si>
    <t>Reunión con Alex Olague para establecer fechas meta de obtención de local</t>
  </si>
  <si>
    <t>Compartir rango de renta al inmobiliario y al analista financiero</t>
  </si>
  <si>
    <t>Definir objetivos de comunicación</t>
  </si>
  <si>
    <t>Coord. Concepto y Diseño</t>
  </si>
  <si>
    <t>Diseño de campaña expectativa</t>
  </si>
  <si>
    <t>Revisar con gerente propuestas de difusión para presupuesto</t>
  </si>
  <si>
    <t>Marketing Estratégico</t>
  </si>
  <si>
    <t>TLA Chihuahua</t>
  </si>
  <si>
    <t>Definición de campaña expectativa</t>
  </si>
  <si>
    <t>Elaborar propuesta tentativa de publicidad moderada</t>
  </si>
  <si>
    <t>Entregar presupuesto de campaña al analista financiero</t>
  </si>
  <si>
    <t>TLA Juárez</t>
  </si>
  <si>
    <t>Definir recursos necesarios para iniciar operación</t>
  </si>
  <si>
    <t>Coord. de Mtto y limpieza</t>
  </si>
  <si>
    <t>Fase 3: Documentos y trámites para operar</t>
  </si>
  <si>
    <t xml:space="preserve">  </t>
  </si>
  <si>
    <t xml:space="preserve">   Reunirse con expansión para definir alcances de permisos</t>
  </si>
  <si>
    <t xml:space="preserve">   Gestionar los permisos para la operación</t>
  </si>
  <si>
    <t xml:space="preserve">   Revisar de la propuesta inicial con expansión</t>
  </si>
  <si>
    <t>Coord. Operaciones / Mtto.</t>
  </si>
  <si>
    <t xml:space="preserve">   Asegurar que el diseño cumpla los requerimientos de personal</t>
  </si>
  <si>
    <t>Coord. Clima y Cultura</t>
  </si>
  <si>
    <t>Analizar e investigar requisitos de trámites de construcción</t>
  </si>
  <si>
    <t>Supervisor de construcción</t>
  </si>
  <si>
    <t xml:space="preserve">   Identificar y contratar gestores y peritos</t>
  </si>
  <si>
    <t>Imobiliario / Sup. Construcción</t>
  </si>
  <si>
    <t>Fase 4: Diseño final del Proyecto Arquitectónico</t>
  </si>
  <si>
    <t>Revisión del proyecto con Sup. Obra, OYS y TDN</t>
  </si>
  <si>
    <t>Fase 5: Proyecto Ejecutivo</t>
  </si>
  <si>
    <t>Proyecto ejecutivo</t>
  </si>
  <si>
    <t>Catálogo de conceptos</t>
  </si>
  <si>
    <t>Programa de obra base</t>
  </si>
  <si>
    <t>Firma de adenda del proyecto con TDU y asegurar entregables actualizados</t>
  </si>
  <si>
    <t xml:space="preserve">   Documentar los entregables del despacho</t>
  </si>
  <si>
    <t>Fase 6: Planeación de la ejecución de proyectos</t>
  </si>
  <si>
    <t xml:space="preserve">   Elaborar presupuesto del área</t>
  </si>
  <si>
    <t>Gte.Talento y Cultura</t>
  </si>
  <si>
    <t xml:space="preserve">   Diseñar la implementación de capacitación</t>
  </si>
  <si>
    <t xml:space="preserve">   Definir y diseñar plan anual de clima y cultura</t>
  </si>
  <si>
    <t xml:space="preserve">   Definir la operación del proceso de servicios al personal</t>
  </si>
  <si>
    <t xml:space="preserve">   Diseñar soporte del área de TYC a Plaza</t>
  </si>
  <si>
    <t xml:space="preserve">   Reunión con compras para definir y validar inventario</t>
  </si>
  <si>
    <t xml:space="preserve">   Compartir al equipo requerimientos para iniciar operaciones.</t>
  </si>
  <si>
    <t xml:space="preserve">   Solicitar a compras buscar contratistas para ejecutar obra</t>
  </si>
  <si>
    <t xml:space="preserve">   Concursar la obra con 3 contratistas</t>
  </si>
  <si>
    <t>Coord. Compras Corporativo</t>
  </si>
  <si>
    <t xml:space="preserve">   Seleccionar al mejor postor</t>
  </si>
  <si>
    <t xml:space="preserve">   Contratar al ganador</t>
  </si>
  <si>
    <t xml:space="preserve">   Documentar contrato de obra</t>
  </si>
  <si>
    <t xml:space="preserve">   Reunirse con TYC para validar fechas de capacitación</t>
  </si>
  <si>
    <t xml:space="preserve">  Realizar entrega de planes e implementaciones a Plaza</t>
  </si>
  <si>
    <t>Fase 7: Ejecución de obra</t>
  </si>
  <si>
    <t>Supervisión de Construcción</t>
  </si>
  <si>
    <t xml:space="preserve">   Tener reunión de arranque con el contratista</t>
  </si>
  <si>
    <t xml:space="preserve">   Dar seguimiento a la ejecución de obra</t>
  </si>
  <si>
    <t xml:space="preserve">   Llevar control del presupuesto</t>
  </si>
  <si>
    <t xml:space="preserve">   Recibir y revisar con Diseño Arquitectónico planos As-Built</t>
  </si>
  <si>
    <t xml:space="preserve">   Revisar e inspeccionar la obra con equipo ENN, OYS, TDN y Plaza</t>
  </si>
  <si>
    <t xml:space="preserve">   Elaborar punchlist y solicitar ajustes al contratista</t>
  </si>
  <si>
    <t xml:space="preserve">   Entregar obra a gerente de plaza</t>
  </si>
  <si>
    <t xml:space="preserve">   Programar pago de anticipo</t>
  </si>
  <si>
    <t xml:space="preserve">   Programar pagos de estimaciones</t>
  </si>
  <si>
    <t xml:space="preserve">   Dar de alta la obra en el IMSS y SIROC</t>
  </si>
  <si>
    <t>Nómina Corporativa</t>
  </si>
  <si>
    <t xml:space="preserve">   Participar en la supervisión de instalaciones en la obra</t>
  </si>
  <si>
    <t>Gte. Transformación de Negocio</t>
  </si>
  <si>
    <t xml:space="preserve">   Validar la instalación al fin de obra</t>
  </si>
  <si>
    <t xml:space="preserve">   Validar con ENN los planos As-Built</t>
  </si>
  <si>
    <t>Emitir observaciones sobre planos As-Built</t>
  </si>
  <si>
    <t>Fase 8: Habilitado de sucursal</t>
  </si>
  <si>
    <t xml:space="preserve">   Compartir a ENN listado de mobiliario, equipo e insumos</t>
  </si>
  <si>
    <t xml:space="preserve">   Reunirse con ENN para asegurar y validar los servicios</t>
  </si>
  <si>
    <t xml:space="preserve">   Definir requerimientos de inventarios</t>
  </si>
  <si>
    <t xml:space="preserve">   Enviar listado a ENN de mobiliario, equipo y herramientas</t>
  </si>
  <si>
    <t xml:space="preserve">   Validar condiciones de trabajo de la obra en ejecución</t>
  </si>
  <si>
    <t xml:space="preserve">   Validar la solicitud de mobiliario con TYC</t>
  </si>
  <si>
    <t>Coord. Marketing Estratégico</t>
  </si>
  <si>
    <t xml:space="preserve">   Validar la solicitud de equipo con TDN</t>
  </si>
  <si>
    <t xml:space="preserve">   Elaborar catálogo de mobiliario, equipo y decoración</t>
  </si>
  <si>
    <t xml:space="preserve">   Compartir catálogo de mobiliario, equipo y decoración</t>
  </si>
  <si>
    <t xml:space="preserve">   Obtener los requerimientos de mobiliario, equipo e insumos</t>
  </si>
  <si>
    <t xml:space="preserve">   Enviar órdenes de compra a Tesorería</t>
  </si>
  <si>
    <t xml:space="preserve">   Programar el pago a proveedores en tiempo y forma</t>
  </si>
  <si>
    <t xml:space="preserve">   Compartir comprobantes de pago</t>
  </si>
  <si>
    <t>Fase 9: Contratación del personal</t>
  </si>
  <si>
    <t>Coord. Atracción de Talento</t>
  </si>
  <si>
    <t>Reunirse con TYC para validar plantilla a contratar</t>
  </si>
  <si>
    <t>Compartir al equipo validación</t>
  </si>
  <si>
    <t>Elaborar la plantilla definitiva</t>
  </si>
  <si>
    <t>Gerente Comercial</t>
  </si>
  <si>
    <t>Entregar a TYC la plantilla definitiva</t>
  </si>
  <si>
    <t>Reclutar y contratar al personal</t>
  </si>
  <si>
    <t>Reclutar y contratar al personal para la operación del proyecto</t>
  </si>
  <si>
    <t>Documentar Currículums</t>
  </si>
  <si>
    <t>Compartir al equipo informe del personal contratado</t>
  </si>
  <si>
    <t>Fase 10: Capacitación del personal</t>
  </si>
  <si>
    <t>Capacitar al personal de nuevo ingreso</t>
  </si>
  <si>
    <t>Compartir y documentar evidencia de capacitación</t>
  </si>
  <si>
    <t xml:space="preserve">   Validar con TYC el plan de capacitación</t>
  </si>
  <si>
    <t xml:space="preserve">   Ejecutar entrenamiento del plan de operaciones</t>
  </si>
  <si>
    <t xml:space="preserve">   Entrenar al entrenador de plaza</t>
  </si>
  <si>
    <t>Entrenador Master</t>
  </si>
  <si>
    <t xml:space="preserve">   Impartir capaictación a asesores familiares</t>
  </si>
  <si>
    <t xml:space="preserve">   Impartir capaccitación de venta sensible</t>
  </si>
  <si>
    <t>Coord. Venta Sensible</t>
  </si>
  <si>
    <t xml:space="preserve">   Capacitar al coordinador de Marketing Táctico</t>
  </si>
  <si>
    <t>Coord. Marketing Táctico</t>
  </si>
  <si>
    <t>Fase 11: Difusión e inicio de preventa</t>
  </si>
  <si>
    <t xml:space="preserve">   Elaborar el plan de promociones</t>
  </si>
  <si>
    <t>Compartir al equipo de ventas de plaza plan de promociones</t>
  </si>
  <si>
    <t xml:space="preserve">   Garantizar el esquema de compensación</t>
  </si>
  <si>
    <t xml:space="preserve">   Definir el proceso de pre-nómina</t>
  </si>
  <si>
    <t>Fase 12: Entrega de sucursal para operar</t>
  </si>
  <si>
    <t>Invitar a colaboradores a participar en inauguración</t>
  </si>
  <si>
    <t>Compartir al grupo fotografías de inauguración</t>
  </si>
  <si>
    <t>Realizar inspección de las instalaciones para validar funcionamiento comercial</t>
  </si>
  <si>
    <t xml:space="preserve">   Entregar a ENN carta de recepción de obra operable</t>
  </si>
  <si>
    <t>Gestionar y asegurar recurso de ejecución antes de junio TLA Chihuahua</t>
  </si>
  <si>
    <t>Ya están las solicitudes, se espera respuesta para finales de abril, preguntar nuevamente el 24 de abril</t>
  </si>
  <si>
    <t>Reunión agendada hoy de 11.30 a 12.30 en Funeraria Ángeles</t>
  </si>
  <si>
    <t>60-70mil pesos</t>
  </si>
  <si>
    <t>A partir de junio 5 al 9</t>
  </si>
  <si>
    <t>a partir del 9 de junio + 1 semana</t>
  </si>
  <si>
    <t>Al fin de actividad anterior</t>
  </si>
  <si>
    <t>Eddy checar con Gaby</t>
  </si>
  <si>
    <t>Gestionar ajustes en proyecto ejecutivo según resultados de workshops</t>
  </si>
  <si>
    <t>Control de cambios esta semana del 22 al 26, fechas no coinciden con el proceso real</t>
  </si>
  <si>
    <t>Estudios hidrológicos TLA, cambios de uso de suelo.</t>
  </si>
  <si>
    <t>Gestionar pago de anticipo</t>
  </si>
  <si>
    <t xml:space="preserve">   Revisar catálogo de conceptos con Sup. Obra, OYS y TDN</t>
  </si>
  <si>
    <t>Gerente AYF</t>
  </si>
  <si>
    <t>Gestionar y asegurar recurso de ejecución antes de junio TLA Juárez</t>
  </si>
  <si>
    <t>Realizar modificaciones al proyecto</t>
  </si>
  <si>
    <t>Definición de Círculos de influencia</t>
  </si>
  <si>
    <t>Revisar con Gaby sobre presupuesto de mkt para el TLA Chihuahua</t>
  </si>
  <si>
    <t>Operaciones y Servicios</t>
  </si>
  <si>
    <t>Análisis de los permisos para proyecto</t>
  </si>
  <si>
    <t>Darío hoy me comparte fechas reales de ajustes en proyecto, requeriré control de cambios.</t>
  </si>
  <si>
    <t>Operaciones y servicios</t>
  </si>
  <si>
    <t xml:space="preserve">   Reunirse con AYF para pagar permisos</t>
  </si>
  <si>
    <t xml:space="preserve">   Revisar de los ajustes con expansión</t>
  </si>
  <si>
    <t>Compartir a Expansión la validación de la propuesta final</t>
  </si>
  <si>
    <t xml:space="preserve">   Elaborar el registro de contratos y documentar información</t>
  </si>
  <si>
    <t>Coord. Operaciones y Servicios</t>
  </si>
  <si>
    <t>Talento y cultura</t>
  </si>
  <si>
    <t xml:space="preserve">   Generar propuestas para oficinas administrativas</t>
  </si>
  <si>
    <t xml:space="preserve">Expansión </t>
  </si>
  <si>
    <t xml:space="preserve">   Tramitar acutalización de la licencia de uso de suelo</t>
  </si>
  <si>
    <t xml:space="preserve">   Documentar permisos de construcción</t>
  </si>
  <si>
    <t xml:space="preserve">   Compartir documentación con gerente de plaza</t>
  </si>
  <si>
    <t>Elaboración de planos del proyecto</t>
  </si>
  <si>
    <t>Elaborar paquete de planos e información del proyecto para solicitar cotizaciones</t>
  </si>
  <si>
    <t>Reunirse con equipo para replantear fechas</t>
  </si>
  <si>
    <t>A modificarse según actividad anterior</t>
  </si>
  <si>
    <t>Cotizar proyecto ejecutivo con despachos por medio de compras (enviar nota de pedido)</t>
  </si>
  <si>
    <t>Seleccionar y contratar despacho por medio de compras</t>
  </si>
  <si>
    <t>Asegurar elaboración de proyecto por despacho, revisar y solicitar ajustes</t>
  </si>
  <si>
    <t>Gestionar finiquito según el presupuesto</t>
  </si>
  <si>
    <t>Envié última versión corregida de adenda el viernes 19, en espera que conteste Arq. José Luis Lozano</t>
  </si>
  <si>
    <t>Tener revisiones de avance con despacho y solicitar ajustes</t>
  </si>
  <si>
    <t>Llevar a cabo reunión de arranque para la planeación de la ejecución del proyeccto</t>
  </si>
  <si>
    <t xml:space="preserve">   Reunirse con Expansión para validar apertura</t>
  </si>
  <si>
    <t>Darío</t>
  </si>
  <si>
    <t>Eddy</t>
  </si>
  <si>
    <t>Los Encinos (Material de venta) MLE CUU</t>
  </si>
  <si>
    <t>Majalca Sección B y D (material de venta)</t>
  </si>
  <si>
    <t>Comprar muestra de porcelanato Beige Umbral Eterno TLA JRZ</t>
  </si>
  <si>
    <t>Negociación Sayra/infinity por material de Umbral Eterno TLA JRZ</t>
  </si>
  <si>
    <t>Ubicación de fosas TLA JRZ, asegurar acceso de carroza en Via TLA</t>
  </si>
  <si>
    <t>Recabar requisitos para viabilidad de luz</t>
  </si>
  <si>
    <t>Recabar requisitos para viabilidad de agua</t>
  </si>
  <si>
    <t>Diseño de distribución de fosas y monumentos en TLA JRZ</t>
  </si>
  <si>
    <r>
      <t xml:space="preserve">La concepción 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, MTLA CUA</t>
    </r>
  </si>
  <si>
    <t>Render y videos del recinto (actualizar mármol) La Paz MTLA CUA</t>
  </si>
  <si>
    <t>Santa Rosalía, diseño de vitrales MTLA Cuauhtémoc</t>
  </si>
  <si>
    <t>Barandal coro capilla MTLA Cuauhtémoc</t>
  </si>
  <si>
    <t>Material de venta Umbral Eterno TLA JRZ</t>
  </si>
  <si>
    <t>Jardín Vencedores (material de venta) MTLA DEL</t>
  </si>
  <si>
    <r>
      <t>Jardín Vencedores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) MTLA DEL</t>
    </r>
  </si>
  <si>
    <t>San Isidro MTLA DEL (Diseño vitral)</t>
  </si>
  <si>
    <t>San Isidro MTLA DEL (Material de venta)</t>
  </si>
  <si>
    <t>Fosas de MTLA Cuauhtémoc (ubicación)</t>
  </si>
  <si>
    <r>
      <t>Criptas VIA TLA MTLA DEL (</t>
    </r>
    <r>
      <rPr>
        <b/>
        <sz val="12"/>
        <rFont val="Arial"/>
        <family val="2"/>
      </rPr>
      <t>obra civil)</t>
    </r>
  </si>
  <si>
    <t>Criptas VIA TLA MTLA DEL (Diseño)</t>
  </si>
  <si>
    <r>
      <t>Criptas la concepción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) MTLA DEL</t>
    </r>
  </si>
  <si>
    <r>
      <t>Los Encinos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 xml:space="preserve"> y mover vegetación) MLE CUU</t>
    </r>
  </si>
  <si>
    <r>
      <t>Naica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) MLE CUU</t>
    </r>
  </si>
  <si>
    <t>Naica (material de venta) MLE CUU</t>
  </si>
  <si>
    <t>Remodelación de Eterno Amor MLE Juárez</t>
  </si>
  <si>
    <r>
      <t>Banquetas de Trascendencia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) MTLA CUA</t>
    </r>
  </si>
  <si>
    <t>Entrega pendiente por infinity 2025 Santa Rosalía MTLA CUA</t>
  </si>
  <si>
    <t>Entrega pendiente por infinity 2025 Col A Bautisterio MTLA DEL</t>
  </si>
  <si>
    <r>
      <t xml:space="preserve">Pendiente 2025 Marco de madera Nichos de Cristal MTLA DEL </t>
    </r>
    <r>
      <rPr>
        <b/>
        <sz val="12"/>
        <rFont val="Arial"/>
        <family val="2"/>
      </rPr>
      <t>(obra civil)</t>
    </r>
  </si>
  <si>
    <r>
      <t>Paseo de los recuerdos (</t>
    </r>
    <r>
      <rPr>
        <b/>
        <sz val="12"/>
        <rFont val="Arial"/>
        <family val="2"/>
      </rPr>
      <t>obra civil</t>
    </r>
    <r>
      <rPr>
        <sz val="12"/>
        <rFont val="Arial"/>
        <family val="2"/>
      </rPr>
      <t>) MLE JRZ</t>
    </r>
  </si>
  <si>
    <t>Anthony Quinn</t>
  </si>
  <si>
    <t>Recabar requisitos para Número Oficial (MLE y SMART)</t>
  </si>
  <si>
    <t>Recabar requisitos para constancia de zonificación (MLE y SMART)</t>
  </si>
  <si>
    <t>Obtener documentos SMART</t>
  </si>
  <si>
    <t>Brenda</t>
  </si>
  <si>
    <t>Monte Kea</t>
  </si>
  <si>
    <t>Protocolización y venta</t>
  </si>
  <si>
    <t>Reunión con Lili Méndez de viabilidad acceso con vecinos</t>
  </si>
  <si>
    <t>Análisis de requerimientos</t>
  </si>
  <si>
    <t>Solicitar proyección de ventas, estudio de mercado y capacidad instalada</t>
  </si>
  <si>
    <t>Reunión de Customer Journey</t>
  </si>
  <si>
    <t>Reunión de necesidades</t>
  </si>
  <si>
    <t>Reunión de validación de componentes e información del terreno</t>
  </si>
  <si>
    <t>Diseño y validación de propuestas TLA Juárez y MTLA Cuauhtémoc</t>
  </si>
  <si>
    <t>Eddy/Darío</t>
  </si>
  <si>
    <t>Diseño y validación de propuestas MTLA Delicias</t>
  </si>
  <si>
    <t>Diseño y validación de propuestas MLE Juárez</t>
  </si>
  <si>
    <t xml:space="preserve">Entregable </t>
  </si>
  <si>
    <r>
      <rPr>
        <i/>
        <sz val="12"/>
        <rFont val="Arial"/>
        <family val="2"/>
      </rPr>
      <t>Entregable:</t>
    </r>
    <r>
      <rPr>
        <sz val="12"/>
        <rFont val="Arial"/>
        <family val="2"/>
      </rPr>
      <t xml:space="preserve"> componentes, proyección de venta y capacidad instalada</t>
    </r>
  </si>
  <si>
    <t>Anteproyectos</t>
  </si>
  <si>
    <t>MTLA Cuauhtémoc</t>
  </si>
  <si>
    <t>MTLA Delicias</t>
  </si>
  <si>
    <t>MLE Juárez</t>
  </si>
  <si>
    <t>Proyectos Conceptuales</t>
  </si>
  <si>
    <t>Conversión de carroza mercedes</t>
  </si>
  <si>
    <t>Puertas de Cafetería</t>
  </si>
  <si>
    <t>Abrir ritual de cenizas</t>
  </si>
  <si>
    <t>Arreglo automático de riego</t>
  </si>
  <si>
    <t>MLE Chihuahua</t>
  </si>
  <si>
    <t>Remodelación CTLA Vallarta</t>
  </si>
  <si>
    <t>Remodelación oficinas Vallarta</t>
  </si>
  <si>
    <t>Sala de velación provisional</t>
  </si>
  <si>
    <t>Montaje de tapas</t>
  </si>
  <si>
    <t>Triturador de cenizas</t>
  </si>
  <si>
    <t>Mejoras exterior (cambio de árboles, tapas de criptas, barda perimetral, iluminación)</t>
  </si>
  <si>
    <t>Andadores y estacionamiento</t>
  </si>
  <si>
    <t>CTLA Tijuana</t>
  </si>
  <si>
    <t>Ampliación de sala velación</t>
  </si>
  <si>
    <t>Compra de Sienna de Juárez</t>
  </si>
  <si>
    <t>Carroza Europea</t>
  </si>
  <si>
    <t>Sienna 2025</t>
  </si>
  <si>
    <t>Segunda Etapa TLA Juárez</t>
  </si>
  <si>
    <t>Remodelación Oficinas y Showroom MLE Juárez</t>
  </si>
  <si>
    <t>Placa de nombre y florerito para USM</t>
  </si>
  <si>
    <t>Mobiliario CTLA Zaragoza</t>
  </si>
  <si>
    <t>Paneles solares</t>
  </si>
  <si>
    <t>Euro Estudios: análisis de cargas actualizado</t>
  </si>
  <si>
    <t>Los Encinos (Autorización de Diseño del ACC) MLE CUU</t>
  </si>
  <si>
    <t>B. VENTA TERRENOS</t>
  </si>
  <si>
    <t>C. MACROPROYECTOS</t>
  </si>
  <si>
    <t>D. CAPEX</t>
  </si>
  <si>
    <t>E. PRÉSTAMO JUÁREZ</t>
  </si>
  <si>
    <t>F. Actividades Extra</t>
  </si>
  <si>
    <t>Negociación y contratos con Sayra e infinity</t>
  </si>
  <si>
    <t>SUCURSAL</t>
  </si>
  <si>
    <t>ASIGNADO</t>
  </si>
  <si>
    <t>DÍAS REQ.</t>
  </si>
  <si>
    <t>PRIORIDAD</t>
  </si>
  <si>
    <t>TIPO</t>
  </si>
  <si>
    <t>LANZAMIENTO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</si>
</sst>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_ ;\-0\ "/>
    <numFmt numFmtId="165" formatCode="dd\-mm\-yy;@"/>
    <numFmt numFmtId="166" formatCode="0.0%"/>
  </numFmts>
  <fonts count="36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 tint="0.24994659260841701"/>
      <name val="Calibri Light"/>
      <family val="2"/>
      <scheme val="major"/>
    </font>
    <font>
      <b/>
      <sz val="13"/>
      <color theme="1" tint="0.24994659260841701"/>
      <name val="Calibri Light"/>
      <family val="2"/>
      <scheme val="major"/>
    </font>
    <font>
      <b/>
      <sz val="18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b/>
      <i/>
      <sz val="10"/>
      <name val="Arial"/>
      <family val="2"/>
    </font>
    <font>
      <b/>
      <sz val="14"/>
      <color theme="5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i/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 tint="0.499984740745262"/>
      <name val="Arial"/>
      <family val="2"/>
    </font>
    <font>
      <i/>
      <sz val="12"/>
      <color theme="4"/>
      <name val="Arial"/>
      <family val="2"/>
    </font>
    <font>
      <i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2" applyProtection="0">
      <alignment vertical="center" wrapText="1"/>
    </xf>
    <xf numFmtId="0" fontId="11" fillId="0" borderId="0" applyNumberFormat="0" applyFill="0" applyBorder="0" applyProtection="0">
      <alignment horizontal="center" vertical="center"/>
    </xf>
    <xf numFmtId="0" fontId="6" fillId="0" borderId="2" applyProtection="0">
      <alignment vertical="center" wrapText="1"/>
    </xf>
    <xf numFmtId="0" fontId="12" fillId="0" borderId="0" applyFill="0" applyBorder="0" applyProtection="0">
      <alignment horizontal="left" wrapText="1"/>
    </xf>
    <xf numFmtId="0" fontId="2" fillId="0" borderId="0"/>
    <xf numFmtId="0" fontId="17" fillId="0" borderId="0"/>
    <xf numFmtId="0" fontId="2" fillId="0" borderId="0"/>
  </cellStyleXfs>
  <cellXfs count="117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4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9" fontId="8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14" fontId="9" fillId="0" borderId="3" xfId="0" applyNumberFormat="1" applyFont="1" applyBorder="1" applyAlignment="1">
      <alignment horizontal="center" vertical="center" wrapText="1"/>
    </xf>
    <xf numFmtId="14" fontId="9" fillId="0" borderId="4" xfId="0" applyNumberFormat="1" applyFont="1" applyBorder="1" applyAlignment="1">
      <alignment horizontal="center" vertical="center"/>
    </xf>
    <xf numFmtId="164" fontId="9" fillId="0" borderId="4" xfId="1" applyNumberFormat="1" applyFont="1" applyBorder="1" applyAlignment="1">
      <alignment horizontal="center" vertical="center"/>
    </xf>
    <xf numFmtId="1" fontId="10" fillId="5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left" vertical="center" indent="1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4" fillId="3" borderId="1" xfId="0" applyFont="1" applyFill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164" fontId="15" fillId="0" borderId="0" xfId="0" applyNumberFormat="1" applyFont="1" applyAlignment="1">
      <alignment horizontal="left" vertical="center" indent="1"/>
    </xf>
    <xf numFmtId="0" fontId="19" fillId="2" borderId="1" xfId="0" applyFont="1" applyFill="1" applyBorder="1" applyAlignment="1">
      <alignment vertical="center"/>
    </xf>
    <xf numFmtId="9" fontId="8" fillId="0" borderId="0" xfId="0" applyNumberFormat="1" applyFont="1" applyAlignment="1">
      <alignment horizontal="center" vertical="center"/>
    </xf>
    <xf numFmtId="166" fontId="9" fillId="0" borderId="7" xfId="1" applyNumberFormat="1" applyFont="1" applyFill="1" applyBorder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9" fontId="21" fillId="0" borderId="7" xfId="1" applyFont="1" applyFill="1" applyBorder="1" applyAlignment="1">
      <alignment horizontal="center" vertical="center" wrapText="1"/>
    </xf>
    <xf numFmtId="165" fontId="7" fillId="0" borderId="5" xfId="6" applyNumberFormat="1" applyFont="1" applyBorder="1" applyAlignment="1">
      <alignment horizontal="center" vertical="center" wrapText="1"/>
    </xf>
    <xf numFmtId="1" fontId="7" fillId="0" borderId="5" xfId="6" applyNumberFormat="1" applyFont="1" applyBorder="1" applyAlignment="1">
      <alignment horizontal="center" vertical="center" wrapText="1"/>
    </xf>
    <xf numFmtId="0" fontId="7" fillId="0" borderId="5" xfId="6" applyFont="1" applyBorder="1" applyAlignment="1">
      <alignment horizontal="left" vertical="center" wrapText="1" indent="1"/>
    </xf>
    <xf numFmtId="9" fontId="21" fillId="0" borderId="7" xfId="1" applyFont="1" applyBorder="1" applyAlignment="1">
      <alignment horizontal="center" vertical="center" wrapText="1"/>
    </xf>
    <xf numFmtId="10" fontId="8" fillId="3" borderId="0" xfId="0" applyNumberFormat="1" applyFont="1" applyFill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0" fontId="21" fillId="0" borderId="5" xfId="6" applyFont="1" applyBorder="1" applyAlignment="1">
      <alignment horizontal="left" vertical="center" wrapText="1"/>
    </xf>
    <xf numFmtId="0" fontId="21" fillId="0" borderId="5" xfId="6" applyFont="1" applyBorder="1" applyAlignment="1">
      <alignment horizontal="center" vertical="center"/>
    </xf>
    <xf numFmtId="165" fontId="21" fillId="0" borderId="5" xfId="6" applyNumberFormat="1" applyFont="1" applyBorder="1" applyAlignment="1">
      <alignment horizontal="center" vertical="center" wrapText="1"/>
    </xf>
    <xf numFmtId="1" fontId="21" fillId="0" borderId="6" xfId="6" applyNumberFormat="1" applyFont="1" applyBorder="1" applyAlignment="1">
      <alignment horizontal="center" vertical="center" wrapText="1"/>
    </xf>
    <xf numFmtId="10" fontId="21" fillId="0" borderId="6" xfId="1" applyNumberFormat="1" applyFont="1" applyBorder="1" applyAlignment="1">
      <alignment horizontal="center" vertical="center" wrapText="1"/>
    </xf>
    <xf numFmtId="0" fontId="7" fillId="0" borderId="5" xfId="6" applyFont="1" applyBorder="1" applyAlignment="1">
      <alignment horizontal="center" vertical="center"/>
    </xf>
    <xf numFmtId="165" fontId="23" fillId="0" borderId="5" xfId="6" applyNumberFormat="1" applyFont="1" applyBorder="1" applyAlignment="1">
      <alignment horizontal="center" vertical="center" wrapText="1"/>
    </xf>
    <xf numFmtId="1" fontId="23" fillId="0" borderId="6" xfId="6" applyNumberFormat="1" applyFont="1" applyBorder="1" applyAlignment="1">
      <alignment horizontal="center" vertical="center" wrapText="1"/>
    </xf>
    <xf numFmtId="10" fontId="23" fillId="0" borderId="6" xfId="1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vertical="center"/>
    </xf>
    <xf numFmtId="1" fontId="7" fillId="0" borderId="6" xfId="6" applyNumberFormat="1" applyFont="1" applyBorder="1" applyAlignment="1">
      <alignment horizontal="center" vertical="center" wrapText="1"/>
    </xf>
    <xf numFmtId="10" fontId="7" fillId="0" borderId="6" xfId="1" applyNumberFormat="1" applyFont="1" applyBorder="1" applyAlignment="1">
      <alignment horizontal="center" vertical="center" wrapText="1"/>
    </xf>
    <xf numFmtId="0" fontId="24" fillId="0" borderId="5" xfId="6" applyFont="1" applyBorder="1" applyAlignment="1">
      <alignment horizontal="left" vertical="center" wrapText="1" indent="1"/>
    </xf>
    <xf numFmtId="0" fontId="7" fillId="0" borderId="5" xfId="6" applyFont="1" applyBorder="1" applyAlignment="1">
      <alignment horizontal="left" vertical="center" wrapText="1" indent="2"/>
    </xf>
    <xf numFmtId="1" fontId="25" fillId="5" borderId="0" xfId="0" applyNumberFormat="1" applyFont="1" applyFill="1" applyAlignment="1">
      <alignment horizontal="center" vertical="center"/>
    </xf>
    <xf numFmtId="0" fontId="21" fillId="0" borderId="5" xfId="6" applyFont="1" applyBorder="1" applyAlignment="1">
      <alignment horizontal="left" vertical="center" wrapText="1" indent="1"/>
    </xf>
    <xf numFmtId="0" fontId="7" fillId="0" borderId="5" xfId="6" applyFont="1" applyFill="1" applyBorder="1" applyAlignment="1">
      <alignment horizontal="left" vertical="center" wrapText="1" indent="2"/>
    </xf>
    <xf numFmtId="0" fontId="21" fillId="0" borderId="5" xfId="6" applyFont="1" applyFill="1" applyBorder="1" applyAlignment="1">
      <alignment horizontal="left" vertical="center" wrapText="1" indent="1"/>
    </xf>
    <xf numFmtId="0" fontId="7" fillId="0" borderId="5" xfId="6" applyFont="1" applyFill="1" applyBorder="1" applyAlignment="1">
      <alignment horizontal="left" vertical="center" wrapText="1"/>
    </xf>
    <xf numFmtId="0" fontId="7" fillId="0" borderId="5" xfId="6" applyFont="1" applyBorder="1" applyAlignment="1">
      <alignment horizontal="left" vertical="center" wrapText="1"/>
    </xf>
    <xf numFmtId="0" fontId="7" fillId="0" borderId="5" xfId="6" applyFont="1" applyFill="1" applyBorder="1" applyAlignment="1">
      <alignment horizontal="left" vertical="center" wrapText="1" indent="1"/>
    </xf>
    <xf numFmtId="10" fontId="7" fillId="0" borderId="5" xfId="6" applyNumberFormat="1" applyFont="1" applyBorder="1" applyAlignment="1">
      <alignment horizontal="center" vertical="center" wrapText="1"/>
    </xf>
    <xf numFmtId="0" fontId="7" fillId="0" borderId="5" xfId="6" applyFont="1" applyBorder="1" applyAlignment="1">
      <alignment horizontal="center" vertical="center" wrapText="1"/>
    </xf>
    <xf numFmtId="10" fontId="7" fillId="0" borderId="6" xfId="6" applyNumberFormat="1" applyFont="1" applyBorder="1" applyAlignment="1">
      <alignment horizontal="center" vertical="center" wrapText="1"/>
    </xf>
    <xf numFmtId="0" fontId="21" fillId="0" borderId="5" xfId="6" applyFont="1" applyBorder="1" applyAlignment="1">
      <alignment horizontal="center" vertical="center" wrapText="1"/>
    </xf>
    <xf numFmtId="0" fontId="26" fillId="0" borderId="5" xfId="6" applyFont="1" applyBorder="1" applyAlignment="1">
      <alignment horizontal="left" vertical="center" wrapText="1" indent="2"/>
    </xf>
    <xf numFmtId="0" fontId="26" fillId="0" borderId="5" xfId="6" applyFont="1" applyBorder="1" applyAlignment="1">
      <alignment horizontal="center" vertical="center"/>
    </xf>
    <xf numFmtId="1" fontId="26" fillId="0" borderId="6" xfId="6" applyNumberFormat="1" applyFont="1" applyBorder="1" applyAlignment="1">
      <alignment horizontal="center" vertical="center" wrapText="1"/>
    </xf>
    <xf numFmtId="10" fontId="26" fillId="0" borderId="6" xfId="1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10" fontId="27" fillId="0" borderId="4" xfId="1" applyNumberFormat="1" applyFont="1" applyFill="1" applyBorder="1" applyAlignment="1">
      <alignment horizontal="center" vertical="center"/>
    </xf>
    <xf numFmtId="10" fontId="9" fillId="0" borderId="4" xfId="1" applyNumberFormat="1" applyFont="1" applyBorder="1" applyAlignment="1">
      <alignment horizontal="center" vertical="center"/>
    </xf>
    <xf numFmtId="9" fontId="8" fillId="3" borderId="0" xfId="0" applyNumberFormat="1" applyFont="1" applyFill="1" applyAlignment="1">
      <alignment horizontal="center" vertical="center" wrapText="1"/>
    </xf>
    <xf numFmtId="10" fontId="28" fillId="6" borderId="0" xfId="0" applyNumberFormat="1" applyFont="1" applyFill="1" applyAlignment="1">
      <alignment horizontal="center" vertical="center"/>
    </xf>
    <xf numFmtId="0" fontId="7" fillId="0" borderId="0" xfId="6" applyFont="1" applyBorder="1" applyAlignment="1">
      <alignment horizontal="left" vertical="center" wrapText="1"/>
    </xf>
    <xf numFmtId="0" fontId="13" fillId="4" borderId="9" xfId="0" applyFont="1" applyFill="1" applyBorder="1" applyAlignment="1">
      <alignment horizontal="left" vertical="center"/>
    </xf>
    <xf numFmtId="164" fontId="10" fillId="4" borderId="0" xfId="0" applyNumberFormat="1" applyFont="1" applyFill="1" applyAlignment="1">
      <alignment horizontal="center" vertical="center"/>
    </xf>
    <xf numFmtId="10" fontId="10" fillId="4" borderId="0" xfId="0" applyNumberFormat="1" applyFont="1" applyFill="1" applyAlignment="1">
      <alignment horizontal="center" vertical="center"/>
    </xf>
    <xf numFmtId="9" fontId="10" fillId="4" borderId="0" xfId="0" applyNumberFormat="1" applyFont="1" applyFill="1" applyAlignment="1">
      <alignment horizontal="center" vertical="center"/>
    </xf>
    <xf numFmtId="10" fontId="29" fillId="4" borderId="0" xfId="0" applyNumberFormat="1" applyFont="1" applyFill="1" applyAlignment="1">
      <alignment horizontal="center" vertical="center"/>
    </xf>
    <xf numFmtId="164" fontId="29" fillId="4" borderId="0" xfId="0" applyNumberFormat="1" applyFont="1" applyFill="1" applyAlignment="1">
      <alignment horizontal="center" vertical="center"/>
    </xf>
    <xf numFmtId="9" fontId="21" fillId="0" borderId="0" xfId="1" applyFont="1" applyFill="1" applyBorder="1" applyAlignment="1">
      <alignment horizontal="center" vertical="center" wrapText="1"/>
    </xf>
    <xf numFmtId="165" fontId="7" fillId="7" borderId="5" xfId="6" applyNumberFormat="1" applyFont="1" applyFill="1" applyBorder="1" applyAlignment="1">
      <alignment horizontal="center" vertical="center" wrapText="1"/>
    </xf>
    <xf numFmtId="10" fontId="7" fillId="0" borderId="0" xfId="6" applyNumberFormat="1" applyFont="1" applyBorder="1" applyAlignment="1">
      <alignment horizontal="center" vertical="center" wrapText="1"/>
    </xf>
    <xf numFmtId="0" fontId="31" fillId="0" borderId="5" xfId="6" applyFont="1" applyBorder="1" applyAlignment="1">
      <alignment horizontal="left" vertical="center" wrapText="1" indent="3"/>
    </xf>
    <xf numFmtId="0" fontId="31" fillId="0" borderId="5" xfId="6" applyFont="1" applyBorder="1" applyAlignment="1">
      <alignment horizontal="center" vertical="center" wrapText="1"/>
    </xf>
    <xf numFmtId="0" fontId="7" fillId="0" borderId="0" xfId="6" applyFont="1" applyBorder="1" applyAlignment="1">
      <alignment horizontal="left" vertical="center" wrapText="1" indent="1"/>
    </xf>
    <xf numFmtId="0" fontId="7" fillId="7" borderId="5" xfId="6" applyFont="1" applyFill="1" applyBorder="1" applyAlignment="1">
      <alignment horizontal="left" vertical="center" wrapText="1" indent="1"/>
    </xf>
    <xf numFmtId="0" fontId="7" fillId="7" borderId="5" xfId="6" applyFont="1" applyFill="1" applyBorder="1" applyAlignment="1">
      <alignment horizontal="center" vertical="center"/>
    </xf>
    <xf numFmtId="1" fontId="7" fillId="7" borderId="6" xfId="6" applyNumberFormat="1" applyFont="1" applyFill="1" applyBorder="1" applyAlignment="1">
      <alignment horizontal="center" vertical="center" wrapText="1"/>
    </xf>
    <xf numFmtId="10" fontId="7" fillId="7" borderId="6" xfId="1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 vertical="center"/>
    </xf>
    <xf numFmtId="164" fontId="32" fillId="3" borderId="0" xfId="0" applyNumberFormat="1" applyFont="1" applyFill="1" applyAlignment="1">
      <alignment horizontal="center" vertical="center"/>
    </xf>
    <xf numFmtId="9" fontId="32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32" fillId="3" borderId="0" xfId="0" applyFont="1" applyFill="1" applyAlignment="1">
      <alignment vertical="center"/>
    </xf>
    <xf numFmtId="0" fontId="32" fillId="3" borderId="0" xfId="0" applyFont="1" applyFill="1" applyAlignment="1">
      <alignment horizontal="center" vertical="center"/>
    </xf>
    <xf numFmtId="0" fontId="1" fillId="0" borderId="5" xfId="6" applyFont="1" applyBorder="1" applyAlignment="1">
      <alignment horizontal="center" vertical="center"/>
    </xf>
    <xf numFmtId="165" fontId="1" fillId="0" borderId="5" xfId="6" applyNumberFormat="1" applyFont="1" applyBorder="1" applyAlignment="1">
      <alignment horizontal="center" vertical="center" wrapText="1"/>
    </xf>
    <xf numFmtId="0" fontId="17" fillId="0" borderId="5" xfId="0" applyFont="1" applyBorder="1" applyAlignment="1">
      <alignment vertical="center"/>
    </xf>
    <xf numFmtId="0" fontId="16" fillId="0" borderId="5" xfId="6" applyFont="1" applyFill="1" applyBorder="1" applyAlignment="1">
      <alignment horizontal="left" vertical="center" wrapText="1" indent="1"/>
    </xf>
    <xf numFmtId="165" fontId="33" fillId="0" borderId="5" xfId="6" applyNumberFormat="1" applyFont="1" applyBorder="1" applyAlignment="1">
      <alignment horizontal="center" vertical="center" wrapText="1"/>
    </xf>
    <xf numFmtId="1" fontId="33" fillId="0" borderId="6" xfId="6" applyNumberFormat="1" applyFont="1" applyBorder="1" applyAlignment="1">
      <alignment horizontal="center" vertical="center" wrapText="1"/>
    </xf>
    <xf numFmtId="0" fontId="1" fillId="0" borderId="5" xfId="6" applyFont="1" applyBorder="1" applyAlignment="1">
      <alignment horizontal="left" vertical="center" wrapText="1" indent="2"/>
    </xf>
    <xf numFmtId="1" fontId="1" fillId="0" borderId="6" xfId="6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left" vertical="center" indent="1"/>
    </xf>
    <xf numFmtId="0" fontId="1" fillId="0" borderId="5" xfId="6" applyFont="1" applyFill="1" applyBorder="1" applyAlignment="1">
      <alignment horizontal="center" vertical="center"/>
    </xf>
    <xf numFmtId="1" fontId="1" fillId="0" borderId="6" xfId="6" applyNumberFormat="1" applyFont="1" applyFill="1" applyBorder="1" applyAlignment="1">
      <alignment horizontal="center" vertical="center" wrapText="1"/>
    </xf>
    <xf numFmtId="0" fontId="34" fillId="0" borderId="5" xfId="6" applyFont="1" applyFill="1" applyBorder="1" applyAlignment="1">
      <alignment horizontal="left" vertical="center" wrapText="1" indent="2"/>
    </xf>
    <xf numFmtId="0" fontId="34" fillId="0" borderId="5" xfId="6" applyFont="1" applyFill="1" applyBorder="1" applyAlignment="1">
      <alignment horizontal="center" vertical="center"/>
    </xf>
    <xf numFmtId="165" fontId="34" fillId="0" borderId="5" xfId="6" applyNumberFormat="1" applyFont="1" applyFill="1" applyBorder="1" applyAlignment="1">
      <alignment horizontal="center" vertical="center" wrapText="1"/>
    </xf>
    <xf numFmtId="1" fontId="34" fillId="0" borderId="6" xfId="6" applyNumberFormat="1" applyFont="1" applyBorder="1" applyAlignment="1">
      <alignment horizontal="center" vertical="center" wrapText="1"/>
    </xf>
    <xf numFmtId="0" fontId="1" fillId="0" borderId="5" xfId="6" applyFont="1" applyFill="1" applyBorder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9" fontId="17" fillId="0" borderId="0" xfId="0" applyNumberFormat="1" applyFont="1" applyAlignment="1">
      <alignment horizontal="center" vertical="center"/>
    </xf>
    <xf numFmtId="0" fontId="16" fillId="0" borderId="5" xfId="6" applyFont="1" applyBorder="1" applyAlignment="1">
      <alignment horizontal="left" vertical="center" wrapText="1" indent="3"/>
    </xf>
    <xf numFmtId="0" fontId="1" fillId="0" borderId="5" xfId="6" applyFont="1" applyBorder="1" applyAlignment="1">
      <alignment horizontal="left" vertical="center" wrapText="1" indent="4"/>
    </xf>
    <xf numFmtId="0" fontId="35" fillId="0" borderId="5" xfId="6" applyFont="1" applyBorder="1" applyAlignment="1">
      <alignment horizontal="left" vertical="center" wrapText="1" indent="4"/>
    </xf>
    <xf numFmtId="165" fontId="1" fillId="7" borderId="5" xfId="6" applyNumberFormat="1" applyFont="1" applyFill="1" applyBorder="1" applyAlignment="1">
      <alignment horizontal="center" vertical="center" wrapText="1"/>
    </xf>
    <xf numFmtId="1" fontId="1" fillId="0" borderId="0" xfId="6" applyNumberFormat="1" applyFont="1" applyBorder="1" applyAlignment="1">
      <alignment horizontal="center" vertical="center" wrapText="1"/>
    </xf>
    <xf numFmtId="1" fontId="1" fillId="0" borderId="0" xfId="6" applyNumberFormat="1" applyFont="1" applyFill="1" applyBorder="1" applyAlignment="1">
      <alignment horizontal="center" vertical="center" wrapText="1"/>
    </xf>
  </cellXfs>
  <cellStyles count="10">
    <cellStyle name="Actividad" xfId="6" xr:uid="{1F2B9222-D004-42F4-A87E-F0A5E39782B4}"/>
    <cellStyle name="Normal" xfId="0" builtinId="0"/>
    <cellStyle name="Normal 2" xfId="3" xr:uid="{B8EB8AF6-139D-4007-BD89-82899A157652}"/>
    <cellStyle name="Normal 2 2" xfId="5" xr:uid="{DD1F70DA-C2F5-4866-A839-E7AB762B9D8D}"/>
    <cellStyle name="Normal 2 3" xfId="7" xr:uid="{808762B3-F831-449A-9C91-77FBF7538172}"/>
    <cellStyle name="Normal 3" xfId="4" xr:uid="{93BABA1D-C174-4D5D-A544-128E7C48E7F4}"/>
    <cellStyle name="Normal 4" xfId="8" xr:uid="{47C061FC-7F93-47AF-A309-D5DD99FC9504}"/>
    <cellStyle name="Normal 5" xfId="9" xr:uid="{4480CE26-D878-4207-AC62-615A05A1EA26}"/>
    <cellStyle name="Porcentaje" xfId="1" builtinId="5"/>
    <cellStyle name="Porcentaje 2 4" xfId="2" xr:uid="{9FFAC685-9EE7-4FC3-BEB1-DFDD40E24CF5}"/>
  </cellStyles>
  <dxfs count="334">
    <dxf>
      <font>
        <color rgb="FF002060"/>
      </font>
      <fill>
        <patternFill patternType="none">
          <fgColor indexed="64"/>
          <bgColor auto="1"/>
        </patternFill>
      </fill>
    </dxf>
    <dxf>
      <font>
        <color theme="9" tint="-0.24994659260841701"/>
      </font>
      <fill>
        <patternFill patternType="none">
          <fgColor indexed="64"/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2060"/>
      </font>
      <fill>
        <patternFill patternType="none">
          <fgColor indexed="64"/>
          <bgColor auto="1"/>
        </patternFill>
      </fill>
    </dxf>
    <dxf>
      <font>
        <color theme="9" tint="-0.24994659260841701"/>
      </font>
      <fill>
        <patternFill patternType="none">
          <fgColor indexed="64"/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2060"/>
      </font>
      <fill>
        <patternFill patternType="none">
          <fgColor indexed="64"/>
          <bgColor auto="1"/>
        </patternFill>
      </fill>
    </dxf>
    <dxf>
      <font>
        <color theme="9" tint="-0.24994659260841701"/>
      </font>
      <fill>
        <patternFill patternType="none">
          <fgColor indexed="64"/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2060"/>
      </font>
      <fill>
        <patternFill patternType="none">
          <fgColor indexed="64"/>
          <bgColor auto="1"/>
        </patternFill>
      </fill>
    </dxf>
    <dxf>
      <font>
        <color theme="9" tint="-0.24994659260841701"/>
      </font>
      <fill>
        <patternFill patternType="none">
          <fgColor indexed="64"/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theme="5" tint="-0.24994659260841701"/>
      </font>
      <fill>
        <patternFill>
          <bgColor rgb="FFFFC000"/>
        </patternFill>
      </fill>
    </dxf>
    <dxf>
      <font>
        <b/>
        <i val="0"/>
        <color rgb="FFFFFFCC"/>
      </font>
      <fill>
        <patternFill>
          <bgColor rgb="FFCC33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4" tint="0.79998168889431442"/>
      </font>
      <fill>
        <patternFill>
          <bgColor theme="1" tint="0.14996795556505021"/>
        </patternFill>
      </fill>
    </dxf>
    <dxf>
      <font>
        <b/>
        <i val="0"/>
        <color rgb="FFFF0000"/>
      </font>
      <fill>
        <patternFill>
          <bgColor rgb="FFD6ED49"/>
        </patternFill>
      </fill>
    </dxf>
    <dxf>
      <font>
        <b/>
        <i val="0"/>
        <color theme="0" tint="-4.9989318521683403E-2"/>
      </font>
      <fill>
        <patternFill>
          <bgColor rgb="FF009900"/>
        </patternFill>
      </fill>
    </dxf>
    <dxf>
      <font>
        <b/>
        <i val="0"/>
        <color rgb="FF008000"/>
      </font>
      <fill>
        <patternFill>
          <bgColor rgb="FF66FF66"/>
        </patternFill>
      </fill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2" defaultTableStyle="TableStyleMedium2" defaultPivotStyle="PivotStyleLight16">
    <tableStyle name="Libreta de direcciones" pivot="0" count="4" xr9:uid="{54C2F471-723F-4DDE-BD58-7D78EC0854CE}">
      <tableStyleElement type="wholeTable" dxfId="333"/>
      <tableStyleElement type="headerRow" dxfId="332"/>
      <tableStyleElement type="firstRowStripe" dxfId="331"/>
      <tableStyleElement type="secondRowStripe" dxfId="330"/>
    </tableStyle>
    <tableStyle name="Libreta de direcciones 2" pivot="0" count="4" xr9:uid="{BE86C5FF-550A-46AC-8812-66EEDA81CA5D}">
      <tableStyleElement type="wholeTable" dxfId="329"/>
      <tableStyleElement type="headerRow" dxfId="328"/>
      <tableStyleElement type="firstRowStripe" dxfId="327"/>
      <tableStyleElement type="secondRowStripe" dxfId="326"/>
    </tableStyle>
  </tableStyles>
  <colors>
    <mruColors>
      <color rgb="FFFF6600"/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357BC-511F-4A46-AED3-E186F78923BA}">
  <sheetPr codeName="Hoja1">
    <tabColor theme="9" tint="-0.249977111117893"/>
    <pageSetUpPr fitToPage="1"/>
  </sheetPr>
  <dimension ref="A1:H106"/>
  <sheetViews>
    <sheetView showGridLines="0" tabSelected="1" zoomScale="89" zoomScaleNormal="89" workbookViewId="0">
      <pane ySplit="1" topLeftCell="A2" activePane="bottomLeft" state="frozen"/>
      <selection pane="bottomLeft" activeCell="A16" sqref="A16"/>
    </sheetView>
  </sheetViews>
  <sheetFormatPr baseColWidth="10" defaultColWidth="9.109375" defaultRowHeight="14.25" customHeight="1" x14ac:dyDescent="0.3"/>
  <cols>
    <col min="1" max="1" width="91.109375" style="89" customWidth="1"/>
    <col min="2" max="2" width="17.109375" style="89" customWidth="1"/>
    <col min="3" max="4" width="16" style="108" customWidth="1"/>
    <col min="5" max="5" width="14.109375" style="108" customWidth="1"/>
    <col min="6" max="6" width="10.109375" style="109" customWidth="1"/>
    <col min="7" max="7" width="21.109375" style="109" customWidth="1"/>
    <col min="8" max="8" width="16.5546875" style="110" customWidth="1"/>
    <col min="9" max="16384" width="9.109375" style="89"/>
  </cols>
  <sheetData>
    <row r="1" spans="1:8" ht="14.25" customHeight="1" x14ac:dyDescent="0.3">
      <c r="A1" s="90" t="s">
        <v>21</v>
      </c>
      <c r="B1" s="90" t="s">
        <v>288</v>
      </c>
      <c r="C1" s="91" t="s">
        <v>13</v>
      </c>
      <c r="D1" s="91" t="s">
        <v>14</v>
      </c>
      <c r="E1" s="91" t="s">
        <v>289</v>
      </c>
      <c r="F1" s="87" t="s">
        <v>290</v>
      </c>
      <c r="G1" s="88" t="s">
        <v>291</v>
      </c>
      <c r="H1" s="88" t="s">
        <v>292</v>
      </c>
    </row>
    <row r="2" spans="1:8" ht="13.95" customHeight="1" x14ac:dyDescent="0.3">
      <c r="A2" s="98" t="s">
        <v>227</v>
      </c>
      <c r="B2" s="98"/>
      <c r="C2" s="93">
        <v>46062</v>
      </c>
      <c r="D2" s="93">
        <v>46069</v>
      </c>
      <c r="E2" s="92" t="s">
        <v>203</v>
      </c>
      <c r="F2" s="99">
        <f t="shared" ref="F2:F8" si="0">+NETWORKDAYS(C2,D2)</f>
        <v>6</v>
      </c>
      <c r="G2" s="115"/>
      <c r="H2" s="94" t="s">
        <v>293</v>
      </c>
    </row>
    <row r="3" spans="1:8" s="100" customFormat="1" ht="15.6" customHeight="1" x14ac:dyDescent="0.3">
      <c r="A3" s="98" t="s">
        <v>281</v>
      </c>
      <c r="B3" s="98"/>
      <c r="C3" s="93">
        <v>46062</v>
      </c>
      <c r="D3" s="93">
        <v>46069</v>
      </c>
      <c r="E3" s="92" t="s">
        <v>202</v>
      </c>
      <c r="F3" s="99">
        <f>+NETWORKDAYS(C3,D3)</f>
        <v>6</v>
      </c>
      <c r="G3" s="115"/>
      <c r="H3" s="94" t="s">
        <v>293</v>
      </c>
    </row>
    <row r="4" spans="1:8" ht="13.95" customHeight="1" x14ac:dyDescent="0.3">
      <c r="A4" s="98" t="s">
        <v>233</v>
      </c>
      <c r="B4" s="98"/>
      <c r="C4" s="93">
        <v>46069</v>
      </c>
      <c r="D4" s="93">
        <v>46094</v>
      </c>
      <c r="E4" s="92" t="s">
        <v>203</v>
      </c>
      <c r="F4" s="99">
        <f t="shared" si="0"/>
        <v>20</v>
      </c>
      <c r="G4" s="115"/>
      <c r="H4" s="94" t="s">
        <v>293</v>
      </c>
    </row>
    <row r="5" spans="1:8" ht="13.95" customHeight="1" x14ac:dyDescent="0.3">
      <c r="A5" s="98" t="s">
        <v>229</v>
      </c>
      <c r="B5" s="98"/>
      <c r="C5" s="93">
        <v>46063</v>
      </c>
      <c r="D5" s="93">
        <v>46069</v>
      </c>
      <c r="E5" s="92" t="s">
        <v>203</v>
      </c>
      <c r="F5" s="99">
        <f t="shared" si="0"/>
        <v>5</v>
      </c>
      <c r="G5" s="115"/>
      <c r="H5" s="94" t="s">
        <v>293</v>
      </c>
    </row>
    <row r="6" spans="1:8" ht="13.95" customHeight="1" x14ac:dyDescent="0.3">
      <c r="A6" s="98" t="s">
        <v>232</v>
      </c>
      <c r="B6" s="98"/>
      <c r="C6" s="93">
        <v>46063</v>
      </c>
      <c r="D6" s="93">
        <v>46080</v>
      </c>
      <c r="E6" s="92" t="s">
        <v>203</v>
      </c>
      <c r="F6" s="99">
        <f t="shared" si="0"/>
        <v>14</v>
      </c>
      <c r="G6" s="115"/>
      <c r="H6" s="94" t="s">
        <v>293</v>
      </c>
    </row>
    <row r="7" spans="1:8" ht="13.95" customHeight="1" x14ac:dyDescent="0.3">
      <c r="A7" s="98" t="s">
        <v>204</v>
      </c>
      <c r="B7" s="98"/>
      <c r="C7" s="93">
        <v>46063</v>
      </c>
      <c r="D7" s="93">
        <v>46069</v>
      </c>
      <c r="E7" s="92" t="s">
        <v>203</v>
      </c>
      <c r="F7" s="99">
        <f t="shared" si="0"/>
        <v>5</v>
      </c>
      <c r="G7" s="115"/>
      <c r="H7" s="94" t="s">
        <v>293</v>
      </c>
    </row>
    <row r="8" spans="1:8" ht="13.95" customHeight="1" x14ac:dyDescent="0.3">
      <c r="A8" s="98" t="s">
        <v>207</v>
      </c>
      <c r="B8" s="98"/>
      <c r="C8" s="93">
        <v>46063</v>
      </c>
      <c r="D8" s="93">
        <v>46069</v>
      </c>
      <c r="E8" s="92" t="s">
        <v>202</v>
      </c>
      <c r="F8" s="99">
        <f t="shared" si="0"/>
        <v>5</v>
      </c>
      <c r="G8" s="115"/>
      <c r="H8" s="94" t="s">
        <v>293</v>
      </c>
    </row>
    <row r="9" spans="1:8" ht="13.95" customHeight="1" x14ac:dyDescent="0.3">
      <c r="A9" s="98" t="s">
        <v>208</v>
      </c>
      <c r="B9" s="98"/>
      <c r="C9" s="93">
        <v>46063</v>
      </c>
      <c r="D9" s="93">
        <v>46069</v>
      </c>
      <c r="E9" s="92" t="s">
        <v>202</v>
      </c>
      <c r="F9" s="99">
        <f>+NETWORKDAYS(C9,D9)</f>
        <v>5</v>
      </c>
      <c r="G9" s="115"/>
      <c r="H9" s="94" t="s">
        <v>293</v>
      </c>
    </row>
    <row r="10" spans="1:8" ht="13.95" customHeight="1" x14ac:dyDescent="0.3">
      <c r="A10" s="98" t="s">
        <v>213</v>
      </c>
      <c r="B10" s="98"/>
      <c r="C10" s="93">
        <v>46063</v>
      </c>
      <c r="D10" s="93">
        <v>46066</v>
      </c>
      <c r="E10" s="92" t="s">
        <v>203</v>
      </c>
      <c r="F10" s="99">
        <f>+NETWORKDAYS(C10,D10)</f>
        <v>4</v>
      </c>
      <c r="G10" s="115"/>
      <c r="H10" s="94" t="s">
        <v>293</v>
      </c>
    </row>
    <row r="11" spans="1:8" ht="13.95" customHeight="1" x14ac:dyDescent="0.3">
      <c r="A11" s="98" t="s">
        <v>219</v>
      </c>
      <c r="B11" s="98"/>
      <c r="C11" s="93">
        <v>46063</v>
      </c>
      <c r="D11" s="93">
        <v>46112</v>
      </c>
      <c r="E11" s="92" t="s">
        <v>202</v>
      </c>
      <c r="F11" s="99">
        <f>+NETWORKDAYS(C11,D11)</f>
        <v>36</v>
      </c>
      <c r="G11" s="115"/>
      <c r="H11" s="94" t="s">
        <v>293</v>
      </c>
    </row>
    <row r="12" spans="1:8" ht="13.95" customHeight="1" x14ac:dyDescent="0.3">
      <c r="A12" s="98" t="s">
        <v>220</v>
      </c>
      <c r="B12" s="98"/>
      <c r="C12" s="93">
        <v>46063</v>
      </c>
      <c r="D12" s="93">
        <v>46112</v>
      </c>
      <c r="E12" s="92" t="s">
        <v>203</v>
      </c>
      <c r="F12" s="99">
        <f>+NETWORKDAYS(C12,D12)</f>
        <v>36</v>
      </c>
      <c r="G12" s="115"/>
      <c r="H12" s="94" t="s">
        <v>293</v>
      </c>
    </row>
    <row r="13" spans="1:8" ht="13.95" customHeight="1" x14ac:dyDescent="0.3">
      <c r="A13" s="98" t="s">
        <v>287</v>
      </c>
      <c r="B13" s="98"/>
      <c r="C13" s="93">
        <v>46069</v>
      </c>
      <c r="D13" s="93">
        <v>46080</v>
      </c>
      <c r="E13" s="92" t="s">
        <v>238</v>
      </c>
      <c r="F13" s="99">
        <f>+NETWORKDAYS(C13,D13)</f>
        <v>10</v>
      </c>
      <c r="G13" s="115"/>
      <c r="H13" s="94" t="s">
        <v>293</v>
      </c>
    </row>
    <row r="14" spans="1:8" s="100" customFormat="1" ht="15.6" customHeight="1" x14ac:dyDescent="0.3">
      <c r="A14" s="98" t="s">
        <v>206</v>
      </c>
      <c r="B14" s="98"/>
      <c r="C14" s="93">
        <f>D8</f>
        <v>46069</v>
      </c>
      <c r="D14" s="93">
        <f>C14+3</f>
        <v>46072</v>
      </c>
      <c r="E14" s="101" t="s">
        <v>203</v>
      </c>
      <c r="F14" s="99">
        <f t="shared" ref="F14" si="1">+NETWORKDAYS(C14,D14)</f>
        <v>4</v>
      </c>
      <c r="G14" s="115"/>
      <c r="H14" s="94" t="s">
        <v>293</v>
      </c>
    </row>
    <row r="15" spans="1:8" ht="13.95" customHeight="1" x14ac:dyDescent="0.3">
      <c r="A15" s="98" t="s">
        <v>216</v>
      </c>
      <c r="B15" s="98"/>
      <c r="C15" s="93">
        <f>D14</f>
        <v>46072</v>
      </c>
      <c r="D15" s="93">
        <f>C15+4</f>
        <v>46076</v>
      </c>
      <c r="E15" s="101" t="s">
        <v>203</v>
      </c>
      <c r="F15" s="99">
        <f t="shared" ref="F15:F21" si="2">+NETWORKDAYS(C15,D15)</f>
        <v>3</v>
      </c>
      <c r="G15" s="115"/>
      <c r="H15" s="94" t="s">
        <v>293</v>
      </c>
    </row>
    <row r="16" spans="1:8" ht="13.95" customHeight="1" x14ac:dyDescent="0.3">
      <c r="A16" s="98" t="s">
        <v>205</v>
      </c>
      <c r="B16" s="98"/>
      <c r="C16" s="93">
        <v>46083</v>
      </c>
      <c r="D16" s="93">
        <f>C16+8</f>
        <v>46091</v>
      </c>
      <c r="E16" s="101" t="s">
        <v>203</v>
      </c>
      <c r="F16" s="102">
        <f t="shared" ref="F16" si="3">+NETWORKDAYS(C16,D16)</f>
        <v>7</v>
      </c>
      <c r="G16" s="116"/>
      <c r="H16" s="94" t="s">
        <v>293</v>
      </c>
    </row>
    <row r="17" spans="1:8" ht="14.25" customHeight="1" x14ac:dyDescent="0.3">
      <c r="A17" s="98" t="s">
        <v>211</v>
      </c>
      <c r="B17" s="98"/>
      <c r="C17" s="93">
        <v>46084</v>
      </c>
      <c r="D17" s="93">
        <v>46112</v>
      </c>
      <c r="E17" s="92" t="s">
        <v>202</v>
      </c>
      <c r="F17" s="99">
        <f>+NETWORKDAYS(C17,D17)</f>
        <v>21</v>
      </c>
      <c r="G17" s="115"/>
      <c r="H17" s="94" t="s">
        <v>293</v>
      </c>
    </row>
    <row r="18" spans="1:8" ht="13.95" customHeight="1" x14ac:dyDescent="0.3">
      <c r="A18" s="98" t="s">
        <v>214</v>
      </c>
      <c r="B18" s="98"/>
      <c r="C18" s="93">
        <v>46084</v>
      </c>
      <c r="D18" s="93">
        <v>46112</v>
      </c>
      <c r="E18" s="92" t="s">
        <v>202</v>
      </c>
      <c r="F18" s="99">
        <f>+NETWORKDAYS(C18,D18)</f>
        <v>21</v>
      </c>
      <c r="G18" s="115"/>
      <c r="H18" s="94" t="s">
        <v>293</v>
      </c>
    </row>
    <row r="19" spans="1:8" ht="13.95" customHeight="1" x14ac:dyDescent="0.3">
      <c r="A19" s="98" t="s">
        <v>226</v>
      </c>
      <c r="B19" s="98"/>
      <c r="C19" s="93">
        <v>46084</v>
      </c>
      <c r="D19" s="93">
        <v>46112</v>
      </c>
      <c r="E19" s="92" t="s">
        <v>203</v>
      </c>
      <c r="F19" s="99">
        <f t="shared" si="2"/>
        <v>21</v>
      </c>
      <c r="G19" s="115"/>
      <c r="H19" s="94" t="s">
        <v>293</v>
      </c>
    </row>
    <row r="20" spans="1:8" ht="13.95" customHeight="1" x14ac:dyDescent="0.3">
      <c r="A20" s="98" t="s">
        <v>230</v>
      </c>
      <c r="B20" s="98"/>
      <c r="C20" s="93">
        <v>46084</v>
      </c>
      <c r="D20" s="93">
        <v>46142</v>
      </c>
      <c r="E20" s="92" t="s">
        <v>203</v>
      </c>
      <c r="F20" s="99">
        <f t="shared" si="2"/>
        <v>43</v>
      </c>
      <c r="G20" s="115"/>
      <c r="H20" s="94" t="s">
        <v>293</v>
      </c>
    </row>
    <row r="21" spans="1:8" ht="13.95" customHeight="1" x14ac:dyDescent="0.3">
      <c r="A21" s="98" t="s">
        <v>231</v>
      </c>
      <c r="B21" s="98"/>
      <c r="C21" s="93">
        <v>46084</v>
      </c>
      <c r="D21" s="93">
        <v>46142</v>
      </c>
      <c r="E21" s="92" t="s">
        <v>203</v>
      </c>
      <c r="F21" s="99">
        <f t="shared" si="2"/>
        <v>43</v>
      </c>
      <c r="G21" s="115"/>
      <c r="H21" s="94" t="s">
        <v>293</v>
      </c>
    </row>
    <row r="22" spans="1:8" ht="13.95" customHeight="1" x14ac:dyDescent="0.3">
      <c r="A22" s="98" t="s">
        <v>225</v>
      </c>
      <c r="B22" s="98"/>
      <c r="C22" s="93">
        <v>46084</v>
      </c>
      <c r="D22" s="93">
        <v>46112</v>
      </c>
      <c r="E22" s="92" t="s">
        <v>203</v>
      </c>
      <c r="F22" s="99">
        <f t="shared" ref="F22" si="4">+NETWORKDAYS(C22,D22)</f>
        <v>21</v>
      </c>
      <c r="G22" s="115"/>
      <c r="H22" s="94" t="s">
        <v>293</v>
      </c>
    </row>
    <row r="23" spans="1:8" ht="13.95" customHeight="1" x14ac:dyDescent="0.3">
      <c r="A23" s="98" t="s">
        <v>217</v>
      </c>
      <c r="B23" s="98"/>
      <c r="C23" s="93">
        <v>46084</v>
      </c>
      <c r="D23" s="93">
        <v>46112</v>
      </c>
      <c r="E23" s="92" t="s">
        <v>203</v>
      </c>
      <c r="F23" s="99">
        <f t="shared" ref="F23:F29" si="5">+NETWORKDAYS(C23,D23)</f>
        <v>21</v>
      </c>
      <c r="G23" s="115"/>
      <c r="H23" s="94" t="s">
        <v>293</v>
      </c>
    </row>
    <row r="24" spans="1:8" ht="13.95" customHeight="1" x14ac:dyDescent="0.3">
      <c r="A24" s="98" t="s">
        <v>224</v>
      </c>
      <c r="B24" s="98"/>
      <c r="C24" s="93">
        <v>46084</v>
      </c>
      <c r="D24" s="93">
        <v>46203</v>
      </c>
      <c r="E24" s="92" t="s">
        <v>203</v>
      </c>
      <c r="F24" s="99">
        <f t="shared" si="5"/>
        <v>86</v>
      </c>
      <c r="G24" s="115"/>
      <c r="H24" s="94" t="s">
        <v>293</v>
      </c>
    </row>
    <row r="25" spans="1:8" ht="13.95" customHeight="1" x14ac:dyDescent="0.3">
      <c r="A25" s="98" t="s">
        <v>221</v>
      </c>
      <c r="B25" s="98"/>
      <c r="C25" s="93">
        <v>46084</v>
      </c>
      <c r="D25" s="93">
        <v>46203</v>
      </c>
      <c r="E25" s="92" t="s">
        <v>202</v>
      </c>
      <c r="F25" s="99">
        <f t="shared" si="5"/>
        <v>86</v>
      </c>
      <c r="G25" s="115"/>
      <c r="H25" s="94" t="s">
        <v>293</v>
      </c>
    </row>
    <row r="26" spans="1:8" ht="13.95" customHeight="1" x14ac:dyDescent="0.3">
      <c r="A26" s="98" t="s">
        <v>223</v>
      </c>
      <c r="B26" s="98"/>
      <c r="C26" s="93">
        <v>46084</v>
      </c>
      <c r="D26" s="93">
        <v>46203</v>
      </c>
      <c r="E26" s="92" t="s">
        <v>202</v>
      </c>
      <c r="F26" s="99">
        <f t="shared" si="5"/>
        <v>86</v>
      </c>
      <c r="G26" s="115"/>
      <c r="H26" s="94" t="s">
        <v>293</v>
      </c>
    </row>
    <row r="27" spans="1:8" ht="13.95" customHeight="1" x14ac:dyDescent="0.3">
      <c r="A27" s="98" t="s">
        <v>222</v>
      </c>
      <c r="B27" s="98"/>
      <c r="C27" s="93">
        <v>46084</v>
      </c>
      <c r="D27" s="93">
        <v>46203</v>
      </c>
      <c r="E27" s="92" t="s">
        <v>203</v>
      </c>
      <c r="F27" s="99">
        <f t="shared" si="5"/>
        <v>86</v>
      </c>
      <c r="G27" s="115"/>
      <c r="H27" s="94" t="s">
        <v>293</v>
      </c>
    </row>
    <row r="28" spans="1:8" ht="13.95" customHeight="1" x14ac:dyDescent="0.3">
      <c r="A28" s="98" t="s">
        <v>212</v>
      </c>
      <c r="B28" s="98"/>
      <c r="C28" s="93">
        <v>46237</v>
      </c>
      <c r="D28" s="93">
        <v>46265</v>
      </c>
      <c r="E28" s="92" t="s">
        <v>203</v>
      </c>
      <c r="F28" s="99">
        <f t="shared" si="5"/>
        <v>21</v>
      </c>
      <c r="G28" s="115"/>
      <c r="H28" s="94" t="s">
        <v>293</v>
      </c>
    </row>
    <row r="29" spans="1:8" ht="13.95" customHeight="1" x14ac:dyDescent="0.3">
      <c r="A29" s="98" t="s">
        <v>218</v>
      </c>
      <c r="B29" s="98"/>
      <c r="C29" s="93">
        <v>46266</v>
      </c>
      <c r="D29" s="93">
        <v>46295</v>
      </c>
      <c r="E29" s="92" t="s">
        <v>203</v>
      </c>
      <c r="F29" s="99">
        <f t="shared" si="5"/>
        <v>22</v>
      </c>
      <c r="G29" s="115"/>
      <c r="H29" s="94" t="s">
        <v>293</v>
      </c>
    </row>
    <row r="30" spans="1:8" ht="14.4" customHeight="1" x14ac:dyDescent="0.3">
      <c r="A30" s="95" t="s">
        <v>282</v>
      </c>
      <c r="B30" s="95"/>
      <c r="C30" s="93"/>
      <c r="D30" s="93"/>
      <c r="E30" s="92"/>
      <c r="F30" s="99"/>
      <c r="G30" s="99"/>
      <c r="H30" s="94"/>
    </row>
    <row r="31" spans="1:8" ht="15.6" x14ac:dyDescent="0.3">
      <c r="A31" s="95"/>
      <c r="B31" s="95"/>
      <c r="C31" s="93"/>
      <c r="D31" s="93"/>
      <c r="E31" s="92"/>
      <c r="F31" s="99"/>
      <c r="G31" s="99"/>
      <c r="H31" s="94"/>
    </row>
    <row r="32" spans="1:8" ht="15.6" x14ac:dyDescent="0.3">
      <c r="A32" s="95" t="s">
        <v>234</v>
      </c>
      <c r="B32" s="95"/>
      <c r="C32" s="96"/>
      <c r="D32" s="96"/>
      <c r="E32" s="92"/>
      <c r="F32" s="97"/>
      <c r="G32" s="97"/>
      <c r="H32" s="94"/>
    </row>
    <row r="33" spans="1:8" ht="13.95" customHeight="1" x14ac:dyDescent="0.3">
      <c r="A33" s="98" t="s">
        <v>235</v>
      </c>
      <c r="B33" s="98"/>
      <c r="C33" s="93">
        <v>46063</v>
      </c>
      <c r="D33" s="93">
        <v>46069</v>
      </c>
      <c r="E33" s="101" t="s">
        <v>203</v>
      </c>
      <c r="F33" s="99">
        <f>+NETWORKDAYS(C33,D33)</f>
        <v>5</v>
      </c>
      <c r="G33" s="115"/>
      <c r="H33" s="94"/>
    </row>
    <row r="34" spans="1:8" s="100" customFormat="1" ht="15.6" customHeight="1" x14ac:dyDescent="0.3">
      <c r="A34" s="98" t="s">
        <v>236</v>
      </c>
      <c r="B34" s="98"/>
      <c r="C34" s="93">
        <v>46063</v>
      </c>
      <c r="D34" s="93">
        <f>D33+8</f>
        <v>46077</v>
      </c>
      <c r="E34" s="101" t="s">
        <v>203</v>
      </c>
      <c r="F34" s="99">
        <f t="shared" ref="F34:F37" si="6">+NETWORKDAYS(C34,D34)</f>
        <v>11</v>
      </c>
      <c r="G34" s="115"/>
      <c r="H34" s="94"/>
    </row>
    <row r="35" spans="1:8" ht="14.4" customHeight="1" x14ac:dyDescent="0.3">
      <c r="A35" s="98" t="s">
        <v>210</v>
      </c>
      <c r="B35" s="98"/>
      <c r="C35" s="93">
        <v>46069</v>
      </c>
      <c r="D35" s="93">
        <v>46080</v>
      </c>
      <c r="E35" s="101" t="s">
        <v>203</v>
      </c>
      <c r="F35" s="99">
        <f t="shared" si="6"/>
        <v>10</v>
      </c>
      <c r="G35" s="115"/>
      <c r="H35" s="94"/>
    </row>
    <row r="36" spans="1:8" ht="14.25" customHeight="1" x14ac:dyDescent="0.3">
      <c r="A36" s="98" t="s">
        <v>209</v>
      </c>
      <c r="B36" s="98"/>
      <c r="C36" s="93">
        <v>46069</v>
      </c>
      <c r="D36" s="93">
        <v>46080</v>
      </c>
      <c r="E36" s="101" t="s">
        <v>203</v>
      </c>
      <c r="F36" s="99">
        <f t="shared" si="6"/>
        <v>10</v>
      </c>
      <c r="G36" s="115"/>
      <c r="H36" s="94"/>
    </row>
    <row r="37" spans="1:8" ht="14.25" customHeight="1" x14ac:dyDescent="0.3">
      <c r="A37" s="98" t="s">
        <v>237</v>
      </c>
      <c r="B37" s="98"/>
      <c r="C37" s="93">
        <v>46063</v>
      </c>
      <c r="D37" s="93">
        <v>46069</v>
      </c>
      <c r="E37" s="92" t="s">
        <v>238</v>
      </c>
      <c r="F37" s="99">
        <f t="shared" si="6"/>
        <v>5</v>
      </c>
      <c r="G37" s="115"/>
      <c r="H37" s="94"/>
    </row>
    <row r="38" spans="1:8" ht="14.25" customHeight="1" x14ac:dyDescent="0.3">
      <c r="A38" s="98" t="s">
        <v>240</v>
      </c>
      <c r="B38" s="98"/>
      <c r="C38" s="93">
        <v>46084</v>
      </c>
      <c r="D38" s="93">
        <f>C38+8</f>
        <v>46092</v>
      </c>
      <c r="E38" s="92" t="s">
        <v>238</v>
      </c>
      <c r="F38" s="99">
        <f t="shared" ref="F38" si="7">+NETWORKDAYS(C38,D38)</f>
        <v>7</v>
      </c>
      <c r="G38" s="115"/>
      <c r="H38" s="94"/>
    </row>
    <row r="39" spans="1:8" ht="15.6" x14ac:dyDescent="0.3">
      <c r="A39" s="95" t="s">
        <v>239</v>
      </c>
      <c r="B39" s="95"/>
      <c r="C39" s="96"/>
      <c r="D39" s="96"/>
      <c r="E39" s="92"/>
      <c r="F39" s="97"/>
      <c r="G39" s="97"/>
      <c r="H39" s="94"/>
    </row>
    <row r="40" spans="1:8" ht="13.95" customHeight="1" x14ac:dyDescent="0.3">
      <c r="A40" s="98" t="s">
        <v>241</v>
      </c>
      <c r="B40" s="98"/>
      <c r="C40" s="93">
        <v>46063</v>
      </c>
      <c r="D40" s="93">
        <v>46080</v>
      </c>
      <c r="E40" s="101" t="s">
        <v>238</v>
      </c>
      <c r="F40" s="99">
        <f>+NETWORKDAYS(C40,D40)</f>
        <v>14</v>
      </c>
      <c r="G40" s="115"/>
      <c r="H40" s="94"/>
    </row>
    <row r="41" spans="1:8" ht="13.95" customHeight="1" x14ac:dyDescent="0.3">
      <c r="A41" s="103"/>
      <c r="B41" s="103"/>
      <c r="C41" s="105"/>
      <c r="D41" s="105"/>
      <c r="E41" s="104"/>
      <c r="F41" s="106"/>
      <c r="G41" s="106"/>
      <c r="H41" s="94"/>
    </row>
    <row r="42" spans="1:8" ht="12.6" customHeight="1" x14ac:dyDescent="0.3">
      <c r="A42" s="95" t="s">
        <v>283</v>
      </c>
      <c r="B42" s="95"/>
      <c r="C42" s="93"/>
      <c r="D42" s="93"/>
      <c r="E42" s="92"/>
      <c r="F42" s="99"/>
      <c r="G42" s="99"/>
      <c r="H42" s="94"/>
    </row>
    <row r="43" spans="1:8" ht="15.6" x14ac:dyDescent="0.3">
      <c r="A43" s="95"/>
      <c r="B43" s="95"/>
      <c r="C43" s="93"/>
      <c r="D43" s="93"/>
      <c r="E43" s="92"/>
      <c r="F43" s="99"/>
      <c r="G43" s="99"/>
      <c r="H43" s="94"/>
    </row>
    <row r="44" spans="1:8" ht="13.95" customHeight="1" x14ac:dyDescent="0.3">
      <c r="A44" s="111" t="s">
        <v>242</v>
      </c>
      <c r="B44" s="111"/>
      <c r="C44" s="93"/>
      <c r="D44" s="93"/>
      <c r="E44" s="92"/>
      <c r="F44" s="99"/>
      <c r="G44" s="99"/>
      <c r="H44" s="94"/>
    </row>
    <row r="45" spans="1:8" ht="14.4" customHeight="1" x14ac:dyDescent="0.3">
      <c r="A45" s="112" t="s">
        <v>243</v>
      </c>
      <c r="B45" s="112"/>
      <c r="C45" s="93">
        <v>46062</v>
      </c>
      <c r="D45" s="93">
        <v>46062</v>
      </c>
      <c r="E45" s="92" t="s">
        <v>238</v>
      </c>
      <c r="F45" s="99">
        <f>+NETWORKDAYS(C45,D45)</f>
        <v>1</v>
      </c>
      <c r="G45" s="115"/>
      <c r="H45" s="94"/>
    </row>
    <row r="46" spans="1:8" ht="14.25" customHeight="1" x14ac:dyDescent="0.3">
      <c r="A46" s="112" t="s">
        <v>244</v>
      </c>
      <c r="B46" s="112"/>
      <c r="C46" s="93">
        <v>46066</v>
      </c>
      <c r="D46" s="93">
        <f>C46+0.5</f>
        <v>46066.5</v>
      </c>
      <c r="E46" s="92" t="s">
        <v>238</v>
      </c>
      <c r="F46" s="99">
        <f>+NETWORKDAYS(C46,D46)</f>
        <v>1</v>
      </c>
      <c r="G46" s="115"/>
      <c r="H46" s="94"/>
    </row>
    <row r="47" spans="1:8" ht="14.25" customHeight="1" x14ac:dyDescent="0.3">
      <c r="A47" s="112" t="s">
        <v>245</v>
      </c>
      <c r="B47" s="112"/>
      <c r="C47" s="93">
        <v>46094</v>
      </c>
      <c r="D47" s="93">
        <v>46094</v>
      </c>
      <c r="E47" s="92" t="s">
        <v>203</v>
      </c>
      <c r="F47" s="99">
        <f t="shared" ref="F47" si="8">+NETWORKDAYS(C47,D47)</f>
        <v>1</v>
      </c>
      <c r="G47" s="115"/>
      <c r="H47" s="94"/>
    </row>
    <row r="48" spans="1:8" ht="14.25" customHeight="1" x14ac:dyDescent="0.3">
      <c r="A48" s="112" t="s">
        <v>246</v>
      </c>
      <c r="B48" s="112"/>
      <c r="C48" s="93">
        <v>46094</v>
      </c>
      <c r="D48" s="93">
        <v>46122</v>
      </c>
      <c r="E48" s="92" t="s">
        <v>203</v>
      </c>
      <c r="F48" s="99">
        <f>+NETWORKDAYS(C48,D48)</f>
        <v>21</v>
      </c>
      <c r="G48" s="115"/>
      <c r="H48" s="94"/>
    </row>
    <row r="49" spans="1:8" ht="14.25" customHeight="1" x14ac:dyDescent="0.3">
      <c r="A49" s="112" t="s">
        <v>252</v>
      </c>
      <c r="B49" s="112"/>
      <c r="C49" s="93">
        <v>46132</v>
      </c>
      <c r="D49" s="93">
        <v>46142</v>
      </c>
      <c r="E49" s="92" t="s">
        <v>203</v>
      </c>
      <c r="F49" s="99">
        <f>+NETWORKDAYS(C49,D49)</f>
        <v>9</v>
      </c>
      <c r="G49" s="115"/>
      <c r="H49" s="94"/>
    </row>
    <row r="50" spans="1:8" ht="14.25" customHeight="1" x14ac:dyDescent="0.3">
      <c r="A50" s="111" t="s">
        <v>257</v>
      </c>
      <c r="B50" s="111"/>
      <c r="C50" s="93"/>
      <c r="D50" s="93"/>
      <c r="E50" s="92"/>
      <c r="F50" s="99"/>
      <c r="G50" s="99"/>
      <c r="H50" s="94"/>
    </row>
    <row r="51" spans="1:8" ht="14.25" customHeight="1" x14ac:dyDescent="0.3">
      <c r="A51" s="112" t="s">
        <v>247</v>
      </c>
      <c r="B51" s="112"/>
      <c r="C51" s="93">
        <v>46143</v>
      </c>
      <c r="D51" s="93">
        <v>46171</v>
      </c>
      <c r="E51" s="92" t="s">
        <v>248</v>
      </c>
      <c r="F51" s="99">
        <f t="shared" ref="F51:F53" si="9">+NETWORKDAYS(C51,D51)</f>
        <v>21</v>
      </c>
      <c r="G51" s="115"/>
      <c r="H51" s="94"/>
    </row>
    <row r="52" spans="1:8" ht="14.25" customHeight="1" x14ac:dyDescent="0.3">
      <c r="A52" s="112" t="s">
        <v>249</v>
      </c>
      <c r="B52" s="112"/>
      <c r="C52" s="93">
        <v>46174</v>
      </c>
      <c r="D52" s="93">
        <v>46220</v>
      </c>
      <c r="E52" s="92" t="s">
        <v>202</v>
      </c>
      <c r="F52" s="99">
        <f t="shared" si="9"/>
        <v>35</v>
      </c>
      <c r="G52" s="115"/>
      <c r="H52" s="94"/>
    </row>
    <row r="53" spans="1:8" ht="14.25" customHeight="1" x14ac:dyDescent="0.3">
      <c r="A53" s="112" t="s">
        <v>250</v>
      </c>
      <c r="B53" s="112"/>
      <c r="C53" s="93">
        <v>46209</v>
      </c>
      <c r="D53" s="93">
        <v>46262</v>
      </c>
      <c r="E53" s="92" t="s">
        <v>203</v>
      </c>
      <c r="F53" s="99">
        <f t="shared" si="9"/>
        <v>40</v>
      </c>
      <c r="G53" s="115"/>
      <c r="H53" s="94"/>
    </row>
    <row r="54" spans="1:8" ht="14.25" customHeight="1" x14ac:dyDescent="0.3">
      <c r="A54" s="113" t="s">
        <v>251</v>
      </c>
      <c r="B54" s="113"/>
      <c r="C54" s="93">
        <v>46265</v>
      </c>
      <c r="D54" s="93">
        <v>46269</v>
      </c>
      <c r="E54" s="92" t="s">
        <v>203</v>
      </c>
      <c r="F54" s="99">
        <f>+NETWORKDAYS(C54,D54)</f>
        <v>5</v>
      </c>
      <c r="G54" s="115"/>
      <c r="H54" s="94"/>
    </row>
    <row r="55" spans="1:8" ht="14.25" customHeight="1" x14ac:dyDescent="0.3">
      <c r="A55" s="111" t="s">
        <v>253</v>
      </c>
      <c r="B55" s="111"/>
      <c r="C55" s="93"/>
      <c r="D55" s="93"/>
      <c r="E55" s="92"/>
      <c r="F55" s="99"/>
      <c r="G55" s="99"/>
      <c r="H55" s="94"/>
    </row>
    <row r="56" spans="1:8" ht="14.25" customHeight="1" x14ac:dyDescent="0.3">
      <c r="A56" s="112" t="s">
        <v>51</v>
      </c>
      <c r="B56" s="112"/>
      <c r="C56" s="93">
        <v>46272</v>
      </c>
      <c r="D56" s="93">
        <v>46290</v>
      </c>
      <c r="E56" s="92" t="s">
        <v>202</v>
      </c>
      <c r="F56" s="99">
        <f t="shared" ref="F56:F57" si="10">+NETWORKDAYS(C56,D56)</f>
        <v>15</v>
      </c>
      <c r="G56" s="115"/>
      <c r="H56" s="94"/>
    </row>
    <row r="57" spans="1:8" ht="14.25" customHeight="1" x14ac:dyDescent="0.3">
      <c r="A57" s="112" t="s">
        <v>254</v>
      </c>
      <c r="B57" s="112"/>
      <c r="C57" s="93">
        <v>46272</v>
      </c>
      <c r="D57" s="93">
        <v>46290</v>
      </c>
      <c r="E57" s="92" t="s">
        <v>203</v>
      </c>
      <c r="F57" s="99">
        <f t="shared" si="10"/>
        <v>15</v>
      </c>
      <c r="G57" s="115"/>
      <c r="H57" s="94"/>
    </row>
    <row r="58" spans="1:8" ht="14.25" customHeight="1" x14ac:dyDescent="0.3">
      <c r="A58" s="112" t="s">
        <v>255</v>
      </c>
      <c r="B58" s="112"/>
      <c r="C58" s="93">
        <v>46293</v>
      </c>
      <c r="D58" s="93">
        <v>46332</v>
      </c>
      <c r="E58" s="92" t="s">
        <v>202</v>
      </c>
      <c r="F58" s="99">
        <f t="shared" ref="F58" si="11">+NETWORKDAYS(C58,D58)</f>
        <v>30</v>
      </c>
      <c r="G58" s="115"/>
      <c r="H58" s="94"/>
    </row>
    <row r="59" spans="1:8" ht="14.25" customHeight="1" x14ac:dyDescent="0.3">
      <c r="A59" s="112" t="s">
        <v>256</v>
      </c>
      <c r="B59" s="112"/>
      <c r="C59" s="93">
        <v>46335</v>
      </c>
      <c r="D59" s="93">
        <v>46367</v>
      </c>
      <c r="E59" s="92" t="s">
        <v>203</v>
      </c>
      <c r="F59" s="99">
        <f t="shared" ref="F59" si="12">+NETWORKDAYS(C59,D59)</f>
        <v>25</v>
      </c>
      <c r="G59" s="115"/>
      <c r="H59" s="94"/>
    </row>
    <row r="60" spans="1:8" ht="14.25" customHeight="1" x14ac:dyDescent="0.3">
      <c r="A60" s="113" t="s">
        <v>251</v>
      </c>
      <c r="B60" s="113"/>
      <c r="C60" s="93">
        <v>46370</v>
      </c>
      <c r="D60" s="93">
        <v>46374</v>
      </c>
      <c r="E60" s="92" t="s">
        <v>248</v>
      </c>
      <c r="F60" s="99">
        <f>+NETWORKDAYS(C60,D60)</f>
        <v>5</v>
      </c>
      <c r="G60" s="115"/>
      <c r="H60" s="94"/>
    </row>
    <row r="61" spans="1:8" ht="14.25" customHeight="1" x14ac:dyDescent="0.3">
      <c r="A61" s="107"/>
      <c r="B61" s="107"/>
      <c r="C61" s="93"/>
      <c r="D61" s="93"/>
      <c r="E61" s="92"/>
      <c r="F61" s="99"/>
      <c r="G61" s="99"/>
      <c r="H61" s="94"/>
    </row>
    <row r="62" spans="1:8" ht="15" customHeight="1" x14ac:dyDescent="0.3">
      <c r="A62" s="95" t="s">
        <v>284</v>
      </c>
      <c r="B62" s="95"/>
      <c r="C62" s="93"/>
      <c r="D62" s="93"/>
      <c r="E62" s="92"/>
      <c r="F62" s="99"/>
      <c r="G62" s="99"/>
      <c r="H62" s="94"/>
    </row>
    <row r="63" spans="1:8" ht="15.6" x14ac:dyDescent="0.3">
      <c r="A63" s="95"/>
      <c r="B63" s="95"/>
      <c r="C63" s="93"/>
      <c r="D63" s="93"/>
      <c r="E63" s="92"/>
      <c r="F63" s="99"/>
      <c r="G63" s="99"/>
      <c r="H63" s="94"/>
    </row>
    <row r="64" spans="1:8" ht="15.6" x14ac:dyDescent="0.3">
      <c r="A64" s="111" t="s">
        <v>262</v>
      </c>
      <c r="B64" s="111"/>
      <c r="C64" s="96"/>
      <c r="D64" s="96"/>
      <c r="E64" s="92"/>
      <c r="F64" s="97"/>
      <c r="G64" s="97"/>
      <c r="H64" s="94"/>
    </row>
    <row r="65" spans="1:8" ht="14.25" customHeight="1" x14ac:dyDescent="0.3">
      <c r="A65" s="112" t="s">
        <v>258</v>
      </c>
      <c r="B65" s="112"/>
      <c r="C65" s="93">
        <v>46062</v>
      </c>
      <c r="D65" s="93">
        <v>46142</v>
      </c>
      <c r="E65" s="92" t="s">
        <v>238</v>
      </c>
      <c r="F65" s="99">
        <f>+NETWORKDAYS(C65,D65)</f>
        <v>59</v>
      </c>
      <c r="G65" s="115"/>
      <c r="H65" s="94"/>
    </row>
    <row r="66" spans="1:8" ht="14.25" customHeight="1" x14ac:dyDescent="0.3">
      <c r="A66" s="112" t="s">
        <v>261</v>
      </c>
      <c r="B66" s="112"/>
      <c r="C66" s="93">
        <v>46063</v>
      </c>
      <c r="D66" s="93">
        <v>46111</v>
      </c>
      <c r="E66" s="92" t="s">
        <v>238</v>
      </c>
      <c r="F66" s="99">
        <f>+NETWORKDAYS(C66,D66)</f>
        <v>35</v>
      </c>
      <c r="G66" s="115"/>
      <c r="H66" s="94"/>
    </row>
    <row r="67" spans="1:8" ht="14.25" customHeight="1" x14ac:dyDescent="0.3">
      <c r="A67" s="112" t="s">
        <v>280</v>
      </c>
      <c r="B67" s="112"/>
      <c r="C67" s="93">
        <v>46063</v>
      </c>
      <c r="D67" s="93">
        <v>46084</v>
      </c>
      <c r="E67" s="92" t="s">
        <v>248</v>
      </c>
      <c r="F67" s="99">
        <f t="shared" ref="F67" si="13">+NETWORKDAYS(C67,D67)</f>
        <v>16</v>
      </c>
      <c r="G67" s="115"/>
      <c r="H67" s="94"/>
    </row>
    <row r="68" spans="1:8" ht="14.25" customHeight="1" x14ac:dyDescent="0.3">
      <c r="A68" s="112" t="s">
        <v>259</v>
      </c>
      <c r="B68" s="112"/>
      <c r="C68" s="93">
        <v>46063</v>
      </c>
      <c r="D68" s="93">
        <v>46111</v>
      </c>
      <c r="E68" s="92" t="s">
        <v>248</v>
      </c>
      <c r="F68" s="99">
        <f>+NETWORKDAYS(C68,D68)</f>
        <v>35</v>
      </c>
      <c r="G68" s="115"/>
      <c r="H68" s="94"/>
    </row>
    <row r="69" spans="1:8" ht="14.25" customHeight="1" x14ac:dyDescent="0.3">
      <c r="A69" s="112" t="s">
        <v>228</v>
      </c>
      <c r="B69" s="112"/>
      <c r="C69" s="93">
        <v>46113</v>
      </c>
      <c r="D69" s="93">
        <v>46171</v>
      </c>
      <c r="E69" s="92" t="s">
        <v>248</v>
      </c>
      <c r="F69" s="99">
        <f>+NETWORKDAYS(C69,D69)</f>
        <v>43</v>
      </c>
      <c r="G69" s="115"/>
      <c r="H69" s="94"/>
    </row>
    <row r="70" spans="1:8" ht="14.25" customHeight="1" x14ac:dyDescent="0.3">
      <c r="A70" s="112" t="s">
        <v>260</v>
      </c>
      <c r="B70" s="112"/>
      <c r="C70" s="93">
        <v>46174</v>
      </c>
      <c r="D70" s="93">
        <v>46204</v>
      </c>
      <c r="E70" s="92" t="s">
        <v>248</v>
      </c>
      <c r="F70" s="99">
        <f t="shared" ref="F70" si="14">+NETWORKDAYS(C70,D70)</f>
        <v>23</v>
      </c>
      <c r="G70" s="115"/>
      <c r="H70" s="94"/>
    </row>
    <row r="71" spans="1:8" ht="14.25" customHeight="1" x14ac:dyDescent="0.3">
      <c r="A71" s="112" t="s">
        <v>215</v>
      </c>
      <c r="B71" s="112"/>
      <c r="C71" s="93">
        <v>46204</v>
      </c>
      <c r="D71" s="93">
        <v>46265</v>
      </c>
      <c r="E71" s="92" t="s">
        <v>248</v>
      </c>
      <c r="F71" s="99">
        <f t="shared" ref="F71" si="15">+NETWORKDAYS(C71,D71)</f>
        <v>44</v>
      </c>
      <c r="G71" s="115"/>
      <c r="H71" s="94"/>
    </row>
    <row r="72" spans="1:8" ht="14.25" customHeight="1" x14ac:dyDescent="0.3">
      <c r="A72" s="112"/>
      <c r="B72" s="112"/>
      <c r="C72" s="93"/>
      <c r="D72" s="93"/>
      <c r="E72" s="92"/>
      <c r="F72" s="99"/>
      <c r="G72" s="99"/>
      <c r="H72" s="94"/>
    </row>
    <row r="73" spans="1:8" ht="14.25" customHeight="1" x14ac:dyDescent="0.3">
      <c r="A73" s="111" t="s">
        <v>32</v>
      </c>
      <c r="B73" s="111"/>
      <c r="C73" s="93"/>
      <c r="D73" s="93"/>
      <c r="E73" s="92"/>
      <c r="F73" s="99"/>
      <c r="G73" s="99"/>
      <c r="H73" s="94"/>
    </row>
    <row r="74" spans="1:8" ht="14.25" customHeight="1" x14ac:dyDescent="0.3">
      <c r="A74" s="112" t="s">
        <v>264</v>
      </c>
      <c r="B74" s="112"/>
      <c r="C74" s="93">
        <v>46235</v>
      </c>
      <c r="D74" s="93">
        <v>46295</v>
      </c>
      <c r="E74" s="92" t="s">
        <v>248</v>
      </c>
      <c r="F74" s="99">
        <f>+NETWORKDAYS(C74,D74)</f>
        <v>43</v>
      </c>
      <c r="G74" s="115"/>
      <c r="H74" s="94"/>
    </row>
    <row r="75" spans="1:8" ht="14.25" customHeight="1" x14ac:dyDescent="0.3">
      <c r="A75" s="112" t="s">
        <v>263</v>
      </c>
      <c r="B75" s="112"/>
      <c r="C75" s="93">
        <v>46204</v>
      </c>
      <c r="D75" s="93">
        <v>46295</v>
      </c>
      <c r="E75" s="92" t="s">
        <v>248</v>
      </c>
      <c r="F75" s="99">
        <f>+NETWORKDAYS(C75,D75)</f>
        <v>66</v>
      </c>
      <c r="G75" s="115"/>
      <c r="H75" s="94"/>
    </row>
    <row r="76" spans="1:8" ht="14.25" customHeight="1" x14ac:dyDescent="0.3">
      <c r="A76" s="112"/>
      <c r="B76" s="112"/>
      <c r="C76" s="93"/>
      <c r="D76" s="93"/>
      <c r="E76" s="92"/>
      <c r="F76" s="99"/>
      <c r="G76" s="99"/>
      <c r="H76" s="94"/>
    </row>
    <row r="77" spans="1:8" ht="14.25" customHeight="1" x14ac:dyDescent="0.3">
      <c r="A77" s="111" t="s">
        <v>255</v>
      </c>
      <c r="B77" s="111"/>
      <c r="C77" s="93"/>
      <c r="D77" s="93"/>
      <c r="E77" s="92"/>
      <c r="F77" s="99"/>
      <c r="G77" s="99"/>
      <c r="H77" s="94"/>
    </row>
    <row r="78" spans="1:8" ht="14.25" customHeight="1" x14ac:dyDescent="0.3">
      <c r="A78" s="112" t="s">
        <v>265</v>
      </c>
      <c r="B78" s="112"/>
      <c r="C78" s="93">
        <v>46204</v>
      </c>
      <c r="D78" s="93">
        <v>46295</v>
      </c>
      <c r="E78" s="92" t="s">
        <v>248</v>
      </c>
      <c r="F78" s="99">
        <f>+NETWORKDAYS(C78,D78)</f>
        <v>66</v>
      </c>
      <c r="G78" s="115"/>
      <c r="H78" s="94"/>
    </row>
    <row r="79" spans="1:8" ht="14.25" customHeight="1" x14ac:dyDescent="0.3">
      <c r="A79" s="112" t="s">
        <v>266</v>
      </c>
      <c r="B79" s="112"/>
      <c r="C79" s="93">
        <v>46063</v>
      </c>
      <c r="D79" s="93">
        <v>46142</v>
      </c>
      <c r="E79" s="92" t="s">
        <v>238</v>
      </c>
      <c r="F79" s="99">
        <f>+NETWORKDAYS(C79,D79)</f>
        <v>58</v>
      </c>
      <c r="G79" s="115"/>
      <c r="H79" s="94"/>
    </row>
    <row r="80" spans="1:8" ht="14.25" customHeight="1" x14ac:dyDescent="0.3">
      <c r="A80" s="112" t="s">
        <v>267</v>
      </c>
      <c r="B80" s="112"/>
      <c r="C80" s="93">
        <v>46204</v>
      </c>
      <c r="D80" s="93">
        <v>46233</v>
      </c>
      <c r="E80" s="92" t="s">
        <v>238</v>
      </c>
      <c r="F80" s="99">
        <f>+NETWORKDAYS(C80,D80)</f>
        <v>22</v>
      </c>
      <c r="G80" s="115"/>
      <c r="H80" s="94"/>
    </row>
    <row r="81" spans="1:8" ht="14.25" customHeight="1" x14ac:dyDescent="0.3">
      <c r="A81" s="98"/>
      <c r="B81" s="98"/>
      <c r="C81" s="93"/>
      <c r="D81" s="93"/>
      <c r="E81" s="92"/>
      <c r="F81" s="99"/>
      <c r="G81" s="99"/>
      <c r="H81" s="94"/>
    </row>
    <row r="82" spans="1:8" ht="14.25" customHeight="1" x14ac:dyDescent="0.3">
      <c r="A82" s="111" t="s">
        <v>254</v>
      </c>
      <c r="B82" s="111"/>
      <c r="C82" s="93"/>
      <c r="D82" s="93"/>
      <c r="E82" s="92"/>
      <c r="F82" s="99"/>
      <c r="G82" s="99"/>
      <c r="H82" s="94"/>
    </row>
    <row r="83" spans="1:8" ht="14.25" customHeight="1" x14ac:dyDescent="0.3">
      <c r="A83" s="112" t="s">
        <v>268</v>
      </c>
      <c r="B83" s="112"/>
      <c r="C83" s="93">
        <v>46113</v>
      </c>
      <c r="D83" s="93">
        <v>46327</v>
      </c>
      <c r="E83" s="92" t="s">
        <v>238</v>
      </c>
      <c r="F83" s="99">
        <f>+NETWORKDAYS(C83,D83)</f>
        <v>153</v>
      </c>
      <c r="G83" s="115"/>
      <c r="H83" s="94"/>
    </row>
    <row r="84" spans="1:8" ht="14.25" customHeight="1" x14ac:dyDescent="0.3">
      <c r="A84" s="112" t="s">
        <v>269</v>
      </c>
      <c r="B84" s="112"/>
      <c r="C84" s="93">
        <v>46113</v>
      </c>
      <c r="D84" s="93">
        <v>46327</v>
      </c>
      <c r="E84" s="92" t="s">
        <v>238</v>
      </c>
      <c r="F84" s="99">
        <f>+NETWORKDAYS(C84,D84)</f>
        <v>153</v>
      </c>
      <c r="G84" s="115"/>
      <c r="H84" s="94"/>
    </row>
    <row r="85" spans="1:8" ht="14.25" customHeight="1" x14ac:dyDescent="0.3">
      <c r="A85" s="98"/>
      <c r="B85" s="98"/>
      <c r="C85" s="93"/>
      <c r="D85" s="93"/>
      <c r="E85" s="92"/>
      <c r="F85" s="99"/>
      <c r="G85" s="99"/>
      <c r="H85" s="94"/>
    </row>
    <row r="86" spans="1:8" ht="14.25" customHeight="1" x14ac:dyDescent="0.3">
      <c r="A86" s="111" t="s">
        <v>270</v>
      </c>
      <c r="B86" s="111"/>
      <c r="C86" s="93"/>
      <c r="D86" s="93"/>
      <c r="E86" s="92"/>
      <c r="F86" s="99"/>
      <c r="G86" s="99"/>
      <c r="H86" s="94"/>
    </row>
    <row r="87" spans="1:8" ht="14.25" customHeight="1" x14ac:dyDescent="0.3">
      <c r="A87" s="112" t="s">
        <v>271</v>
      </c>
      <c r="B87" s="112"/>
      <c r="C87" s="93">
        <v>46235</v>
      </c>
      <c r="D87" s="93">
        <v>46327</v>
      </c>
      <c r="E87" s="92" t="s">
        <v>248</v>
      </c>
      <c r="F87" s="99">
        <f>+NETWORKDAYS(C87,D87)</f>
        <v>65</v>
      </c>
      <c r="G87" s="115"/>
      <c r="H87" s="94"/>
    </row>
    <row r="88" spans="1:8" ht="14.25" customHeight="1" x14ac:dyDescent="0.3">
      <c r="A88" s="112" t="s">
        <v>272</v>
      </c>
      <c r="B88" s="112"/>
      <c r="C88" s="93">
        <v>46113</v>
      </c>
      <c r="D88" s="93">
        <v>46142</v>
      </c>
      <c r="E88" s="92" t="s">
        <v>238</v>
      </c>
      <c r="F88" s="99">
        <f>+NETWORKDAYS(C88,D88)</f>
        <v>22</v>
      </c>
      <c r="G88" s="115"/>
      <c r="H88" s="94"/>
    </row>
    <row r="89" spans="1:8" ht="14.25" customHeight="1" x14ac:dyDescent="0.3">
      <c r="A89" s="98"/>
      <c r="B89" s="98"/>
      <c r="C89" s="93"/>
      <c r="D89" s="93"/>
      <c r="E89" s="92"/>
      <c r="F89" s="99"/>
      <c r="G89" s="99"/>
      <c r="H89" s="94"/>
    </row>
    <row r="90" spans="1:8" ht="14.25" customHeight="1" x14ac:dyDescent="0.3">
      <c r="A90" s="111" t="s">
        <v>256</v>
      </c>
      <c r="B90" s="111"/>
      <c r="C90" s="93"/>
      <c r="D90" s="93"/>
      <c r="E90" s="92"/>
      <c r="F90" s="99"/>
      <c r="G90" s="99"/>
      <c r="H90" s="94"/>
    </row>
    <row r="91" spans="1:8" ht="14.25" customHeight="1" x14ac:dyDescent="0.3">
      <c r="A91" s="112" t="s">
        <v>273</v>
      </c>
      <c r="B91" s="112"/>
      <c r="C91" s="93">
        <v>46174</v>
      </c>
      <c r="D91" s="93">
        <v>46296</v>
      </c>
      <c r="E91" s="92" t="s">
        <v>238</v>
      </c>
      <c r="F91" s="99">
        <f>+NETWORKDAYS(C91,D91)</f>
        <v>89</v>
      </c>
      <c r="G91" s="115"/>
      <c r="H91" s="94"/>
    </row>
    <row r="92" spans="1:8" ht="14.25" customHeight="1" x14ac:dyDescent="0.3">
      <c r="A92" s="112" t="s">
        <v>274</v>
      </c>
      <c r="B92" s="112"/>
      <c r="C92" s="93">
        <v>46063</v>
      </c>
      <c r="D92" s="93">
        <v>46327</v>
      </c>
      <c r="E92" s="92" t="s">
        <v>238</v>
      </c>
      <c r="F92" s="99">
        <f>+NETWORKDAYS(C92,D92)</f>
        <v>189</v>
      </c>
      <c r="G92" s="115"/>
      <c r="H92" s="94"/>
    </row>
    <row r="93" spans="1:8" ht="14.25" customHeight="1" x14ac:dyDescent="0.3">
      <c r="A93" s="98"/>
      <c r="B93" s="98"/>
      <c r="C93" s="93"/>
      <c r="D93" s="93"/>
      <c r="E93" s="92"/>
      <c r="F93" s="99"/>
      <c r="G93" s="99"/>
      <c r="H93" s="94"/>
    </row>
    <row r="94" spans="1:8" ht="12.6" customHeight="1" x14ac:dyDescent="0.3">
      <c r="A94" s="95" t="s">
        <v>285</v>
      </c>
      <c r="B94" s="95"/>
      <c r="C94" s="93"/>
      <c r="D94" s="93"/>
      <c r="E94" s="92"/>
      <c r="F94" s="99"/>
      <c r="G94" s="99"/>
      <c r="H94" s="94"/>
    </row>
    <row r="95" spans="1:8" ht="15.6" x14ac:dyDescent="0.3">
      <c r="A95" s="95"/>
      <c r="B95" s="95"/>
      <c r="C95" s="93"/>
      <c r="D95" s="93"/>
      <c r="E95" s="92"/>
      <c r="F95" s="99"/>
      <c r="G95" s="99"/>
      <c r="H95" s="94"/>
    </row>
    <row r="96" spans="1:8" ht="14.25" customHeight="1" x14ac:dyDescent="0.3">
      <c r="A96" s="112" t="s">
        <v>275</v>
      </c>
      <c r="B96" s="112"/>
      <c r="C96" s="114">
        <v>46080</v>
      </c>
      <c r="D96" s="114">
        <v>46080</v>
      </c>
      <c r="E96" s="92" t="s">
        <v>248</v>
      </c>
      <c r="F96" s="99">
        <f t="shared" ref="F96:F97" si="16">+NETWORKDAYS(C96,D96)</f>
        <v>1</v>
      </c>
      <c r="G96" s="115"/>
      <c r="H96" s="94"/>
    </row>
    <row r="97" spans="1:8" ht="14.25" customHeight="1" x14ac:dyDescent="0.3">
      <c r="A97" s="112" t="s">
        <v>276</v>
      </c>
      <c r="B97" s="112"/>
      <c r="C97" s="114">
        <v>46080</v>
      </c>
      <c r="D97" s="114">
        <v>46080</v>
      </c>
      <c r="E97" s="92" t="s">
        <v>248</v>
      </c>
      <c r="F97" s="99">
        <f t="shared" si="16"/>
        <v>1</v>
      </c>
      <c r="G97" s="115"/>
      <c r="H97" s="94"/>
    </row>
    <row r="98" spans="1:8" ht="15.6" x14ac:dyDescent="0.3">
      <c r="A98" s="95"/>
      <c r="B98" s="95"/>
      <c r="C98" s="93"/>
      <c r="D98" s="93"/>
      <c r="E98" s="92"/>
      <c r="F98" s="99"/>
      <c r="G98" s="99"/>
      <c r="H98" s="94"/>
    </row>
    <row r="99" spans="1:8" ht="12.6" customHeight="1" x14ac:dyDescent="0.3">
      <c r="A99" s="95" t="s">
        <v>286</v>
      </c>
      <c r="B99" s="95"/>
      <c r="C99" s="93"/>
      <c r="D99" s="93"/>
      <c r="E99" s="92"/>
      <c r="F99" s="99"/>
      <c r="G99" s="99"/>
      <c r="H99" s="94"/>
    </row>
    <row r="100" spans="1:8" ht="15.6" x14ac:dyDescent="0.3">
      <c r="A100" s="95"/>
      <c r="B100" s="95"/>
      <c r="C100" s="93"/>
      <c r="D100" s="93"/>
      <c r="E100" s="92"/>
      <c r="F100" s="99"/>
      <c r="G100" s="99"/>
      <c r="H100" s="94"/>
    </row>
    <row r="101" spans="1:8" ht="14.25" customHeight="1" x14ac:dyDescent="0.3">
      <c r="A101" s="112" t="s">
        <v>277</v>
      </c>
      <c r="B101" s="112"/>
      <c r="C101" s="93">
        <v>45627</v>
      </c>
      <c r="D101" s="93">
        <v>46066</v>
      </c>
      <c r="E101" s="92" t="s">
        <v>203</v>
      </c>
      <c r="F101" s="99">
        <f t="shared" ref="F101:F102" si="17">+NETWORKDAYS(C101,D101)</f>
        <v>315</v>
      </c>
      <c r="G101" s="115"/>
      <c r="H101" s="94"/>
    </row>
    <row r="102" spans="1:8" ht="14.25" customHeight="1" x14ac:dyDescent="0.3">
      <c r="A102" s="112" t="s">
        <v>278</v>
      </c>
      <c r="B102" s="112"/>
      <c r="C102" s="93">
        <v>46063</v>
      </c>
      <c r="D102" s="93">
        <v>46064</v>
      </c>
      <c r="E102" s="92" t="s">
        <v>203</v>
      </c>
      <c r="F102" s="99">
        <f t="shared" si="17"/>
        <v>2</v>
      </c>
      <c r="G102" s="115"/>
      <c r="H102" s="94"/>
    </row>
    <row r="103" spans="1:8" ht="14.25" customHeight="1" x14ac:dyDescent="0.3">
      <c r="A103" s="112" t="s">
        <v>279</v>
      </c>
      <c r="B103" s="112"/>
      <c r="C103" s="93">
        <f>C67</f>
        <v>46063</v>
      </c>
      <c r="D103" s="93">
        <v>46142</v>
      </c>
      <c r="E103" s="92" t="s">
        <v>238</v>
      </c>
      <c r="F103" s="99">
        <f t="shared" ref="F103" si="18">+NETWORKDAYS(C103,D103)</f>
        <v>58</v>
      </c>
      <c r="G103" s="115"/>
      <c r="H103" s="94"/>
    </row>
    <row r="104" spans="1:8" ht="15.6" x14ac:dyDescent="0.3">
      <c r="A104" s="95"/>
      <c r="B104" s="95"/>
      <c r="C104" s="93"/>
      <c r="D104" s="93"/>
      <c r="E104" s="92"/>
      <c r="F104" s="99"/>
      <c r="G104" s="99"/>
      <c r="H104" s="94"/>
    </row>
    <row r="105" spans="1:8" ht="14.25" customHeight="1" x14ac:dyDescent="0.3">
      <c r="H105" s="94"/>
    </row>
    <row r="106" spans="1:8" ht="14.25" customHeight="1" x14ac:dyDescent="0.3">
      <c r="H106" s="94"/>
    </row>
  </sheetData>
  <autoFilter ref="A1:F88" xr:uid="{D2A62D59-AED2-4531-B8AE-D49C13354E71}"/>
  <phoneticPr fontId="30" type="noConversion"/>
  <conditionalFormatting sqref="H2:H106">
    <cfRule type="containsText" dxfId="325" priority="54" operator="containsText" text="En Tiempo">
      <formula>NOT(ISERROR(SEARCH("En Tiempo",H2)))</formula>
    </cfRule>
    <cfRule type="containsText" dxfId="324" priority="55" operator="containsText" text="Terminado">
      <formula>NOT(ISERROR(SEARCH("Terminado",H2)))</formula>
    </cfRule>
    <cfRule type="containsText" dxfId="323" priority="56" operator="containsText" text="R. Leve">
      <formula>NOT(ISERROR(SEARCH("R. Leve",H2)))</formula>
    </cfRule>
    <cfRule type="containsText" dxfId="322" priority="57" operator="containsText" text="Pendiente">
      <formula>NOT(ISERROR(SEARCH("Pendiente",H2)))</formula>
    </cfRule>
    <cfRule type="containsText" dxfId="321" priority="58" operator="containsText" text="R. Leve">
      <formula>NOT(ISERROR(SEARCH("R. Leve",H2)))</formula>
    </cfRule>
    <cfRule type="containsText" dxfId="320" priority="59" operator="containsText" text="En Tiempo">
      <formula>NOT(ISERROR(SEARCH("En Tiempo",H2)))</formula>
    </cfRule>
    <cfRule type="containsText" dxfId="319" priority="60" operator="containsText" text="Terminado">
      <formula>NOT(ISERROR(SEARCH("Terminado",H2)))</formula>
    </cfRule>
    <cfRule type="containsText" dxfId="318" priority="746" operator="containsText" text="R. Crítico">
      <formula>NOT(ISERROR(SEARCH("R. Crítico",H2)))</formula>
    </cfRule>
    <cfRule type="containsText" dxfId="317" priority="747" operator="containsText" text="R. Grave">
      <formula>NOT(ISERROR(SEARCH("R. Grave",H2)))</formula>
    </cfRule>
    <cfRule type="containsText" dxfId="316" priority="748" operator="containsText" text="R. Medio">
      <formula>NOT(ISERROR(SEARCH("R. Medio",H2)))</formula>
    </cfRule>
  </conditionalFormatting>
  <pageMargins left="0.25" right="0.25" top="0.75" bottom="0.75" header="0.3" footer="0.3"/>
  <pageSetup scale="1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4A10-5862-4F42-BAE5-2D8044F3E89F}">
  <sheetPr codeName="Hoja3">
    <tabColor theme="9" tint="-0.249977111117893"/>
    <pageSetUpPr fitToPage="1"/>
  </sheetPr>
  <dimension ref="A1:BE423"/>
  <sheetViews>
    <sheetView showGridLines="0" zoomScale="85" zoomScaleNormal="85" workbookViewId="0">
      <pane ySplit="4" topLeftCell="A5" activePane="bottomLeft" state="frozen"/>
      <selection pane="bottomLeft" activeCell="A20" sqref="A20"/>
    </sheetView>
  </sheetViews>
  <sheetFormatPr baseColWidth="10" defaultColWidth="11.44140625" defaultRowHeight="14.25" customHeight="1" x14ac:dyDescent="0.3"/>
  <cols>
    <col min="1" max="1" width="77.6640625" style="1" customWidth="1"/>
    <col min="2" max="2" width="30.44140625" style="2" bestFit="1" customWidth="1"/>
    <col min="3" max="4" width="19" style="2" customWidth="1"/>
    <col min="5" max="5" width="10.109375" style="16" customWidth="1"/>
    <col min="6" max="8" width="16.5546875" style="17" customWidth="1"/>
    <col min="9" max="9" width="1.44140625" style="25" customWidth="1"/>
    <col min="10" max="10" width="25" style="1" customWidth="1"/>
    <col min="11" max="16384" width="11.44140625" style="1"/>
  </cols>
  <sheetData>
    <row r="1" spans="1:10" s="10" customFormat="1" ht="25.5" customHeight="1" thickBot="1" x14ac:dyDescent="0.35">
      <c r="A1" s="21" t="s">
        <v>0</v>
      </c>
      <c r="B1" s="19" t="s">
        <v>12</v>
      </c>
      <c r="C1" s="7" t="s">
        <v>13</v>
      </c>
      <c r="D1" s="7" t="s">
        <v>14</v>
      </c>
      <c r="E1" s="8" t="s">
        <v>15</v>
      </c>
      <c r="F1" s="9" t="s">
        <v>16</v>
      </c>
      <c r="G1" s="9" t="s">
        <v>17</v>
      </c>
      <c r="H1" s="9" t="s">
        <v>18</v>
      </c>
      <c r="I1" s="22"/>
      <c r="J1" s="67" t="s">
        <v>19</v>
      </c>
    </row>
    <row r="2" spans="1:10" s="10" customFormat="1" ht="34.5" customHeight="1" thickBot="1" x14ac:dyDescent="0.35">
      <c r="A2" s="18" t="s">
        <v>1</v>
      </c>
      <c r="B2" s="11" t="s">
        <v>2</v>
      </c>
      <c r="C2" s="12">
        <f>C5</f>
        <v>44893</v>
      </c>
      <c r="D2" s="12">
        <f>D398</f>
        <v>45244</v>
      </c>
      <c r="E2" s="13">
        <f>NETWORKDAYS(C2,D2)</f>
        <v>252</v>
      </c>
      <c r="F2" s="65">
        <f ca="1">IF((NETWORKDAYS(C2,TODAY())/E2)&gt;1,1,IF((NETWORKDAYS(C2,TODAY())/E2)&lt;0,0,NETWORKDAYS(C2,TODAY())/E2))</f>
        <v>1</v>
      </c>
      <c r="G2" s="66">
        <f ca="1">IFERROR(F2*(G3/F3),0)</f>
        <v>0.10315625424283692</v>
      </c>
      <c r="H2" s="14" t="str">
        <f ca="1">+IF(F2=0,"Pendiente",IF(G2=100%,"Terminado",IF(G2&gt;=F2,"En Tiempo",IF((G2/F2)&gt;=75%,IF((G2/F2)&lt;=99.99%,"R. Leve"),IF((G2/F2)&gt;=50%,IF((G2/F2)&lt;=74%,"R. Medio"),IF((G2/F2)&gt;=50%,IF((G2/F2)&gt;=49.9%,"R. Crítico"),IF(F2=0,"Pendiente",IF(G2=100%,"Terminado",IF(G2=F2,"En Tiempo",IF(G2&lt;F2,"R. Grave",IF(G2&gt;F2,"Adelantado","")))))))))))</f>
        <v>R. Grave</v>
      </c>
      <c r="I2" s="23"/>
      <c r="J2" s="68">
        <f ca="1">G2/F2</f>
        <v>0.10315625424283692</v>
      </c>
    </row>
    <row r="3" spans="1:10" ht="13.5" customHeight="1" x14ac:dyDescent="0.3">
      <c r="A3" s="3"/>
      <c r="B3" s="3"/>
      <c r="E3" s="20" t="s">
        <v>20</v>
      </c>
      <c r="F3" s="86">
        <f ca="1">AVERAGE(F5:F443)</f>
        <v>1</v>
      </c>
      <c r="G3" s="86">
        <f ca="1">AVERAGE(G5:G428)</f>
        <v>0.10315625424283692</v>
      </c>
      <c r="H3" s="15"/>
      <c r="I3" s="24"/>
    </row>
    <row r="4" spans="1:10" ht="14.25" customHeight="1" x14ac:dyDescent="0.3">
      <c r="A4" s="4" t="s">
        <v>21</v>
      </c>
      <c r="B4" s="5" t="s">
        <v>22</v>
      </c>
      <c r="C4" s="5" t="s">
        <v>13</v>
      </c>
      <c r="D4" s="5" t="s">
        <v>14</v>
      </c>
      <c r="E4" s="8" t="s">
        <v>15</v>
      </c>
      <c r="F4" s="31" t="s">
        <v>16</v>
      </c>
      <c r="G4" s="31" t="s">
        <v>17</v>
      </c>
      <c r="H4" s="9" t="s">
        <v>23</v>
      </c>
      <c r="I4" s="22"/>
    </row>
    <row r="5" spans="1:10" ht="23.4" x14ac:dyDescent="0.3">
      <c r="A5" s="32" t="s">
        <v>24</v>
      </c>
      <c r="B5" s="33" t="s">
        <v>6</v>
      </c>
      <c r="C5" s="34">
        <f>MIN(C8:C13)</f>
        <v>44893</v>
      </c>
      <c r="D5" s="34">
        <f>MAX(D8:D13)</f>
        <v>44953</v>
      </c>
      <c r="E5" s="71">
        <f>NETWORKDAYS(C5,D5)</f>
        <v>45</v>
      </c>
      <c r="F5" s="72">
        <f ca="1">IF((NETWORKDAYS(C5,TODAY())/E5)&gt;1,1,IF((NETWORKDAYS(C5,TODAY())/E5)&lt;0,0,NETWORKDAYS(C5,TODAY())/E5))</f>
        <v>1</v>
      </c>
      <c r="G5" s="72">
        <f ca="1">IFERROR(F5*(G6/F6),0)</f>
        <v>1</v>
      </c>
      <c r="H5" s="73"/>
    </row>
    <row r="6" spans="1:10" ht="12" customHeight="1" x14ac:dyDescent="0.3">
      <c r="A6" s="32"/>
      <c r="B6" s="33"/>
      <c r="C6" s="34"/>
      <c r="D6" s="34"/>
      <c r="E6" s="75"/>
      <c r="F6" s="74">
        <f ca="1">AVERAGE(F8:F13)</f>
        <v>1</v>
      </c>
      <c r="G6" s="74">
        <f>AVERAGE(G8:G13)</f>
        <v>1</v>
      </c>
      <c r="H6" s="73"/>
    </row>
    <row r="7" spans="1:10" ht="14.25" customHeight="1" x14ac:dyDescent="0.3">
      <c r="A7" s="54"/>
      <c r="B7" s="40"/>
      <c r="C7" s="27"/>
      <c r="D7" s="27"/>
      <c r="E7" s="28"/>
      <c r="F7" s="46"/>
      <c r="G7" s="56"/>
      <c r="H7" s="44"/>
    </row>
    <row r="8" spans="1:10" ht="14.25" customHeight="1" x14ac:dyDescent="0.3">
      <c r="A8" s="29" t="s">
        <v>25</v>
      </c>
      <c r="B8" s="40" t="s">
        <v>26</v>
      </c>
      <c r="C8" s="27">
        <v>44893</v>
      </c>
      <c r="D8" s="27">
        <v>44895</v>
      </c>
      <c r="E8" s="45">
        <f>+NETWORKDAYS(C8,D8)</f>
        <v>3</v>
      </c>
      <c r="F8" s="46">
        <f ca="1">IF((NETWORKDAYS(C8,TODAY())/E8)&gt;1,1,IF((NETWORKDAYS(C8,TODAY())/E8)&lt;0,0,NETWORKDAYS(C8,TODAY())/E8))</f>
        <v>1</v>
      </c>
      <c r="G8" s="46">
        <v>1</v>
      </c>
      <c r="H8" s="14" t="str">
        <f t="shared" ref="H8:H10" ca="1" si="0">+IF(F8=0,"Pendiente",IF(G8=100%,"Terminado",IF(G8&gt;=F8,"En Tiempo",IF((G8/F8)&gt;=75%,IF((G8/F8)&lt;=99.9%,"R. Leve"),IF((G8/F8)&gt;=50%,IF((G8/F8)&lt;=74%,"R. Medio"),IF((G8/F8)&gt;=50%,IF((G8/F8)&gt;=49%,"R. Crítico"),IF(F8=0,"Pendiente",IF(G8=100%,"Terminado",IF(G8=F8,"En Tiempo",IF(G8&lt;F8,"R. Grave",IF(G8&gt;F8,"Adelantado","")))))))))))</f>
        <v>Terminado</v>
      </c>
      <c r="I8" s="26"/>
    </row>
    <row r="9" spans="1:10" ht="14.25" customHeight="1" x14ac:dyDescent="0.3">
      <c r="A9" s="29" t="s">
        <v>27</v>
      </c>
      <c r="B9" s="40" t="s">
        <v>26</v>
      </c>
      <c r="C9" s="27">
        <v>44893</v>
      </c>
      <c r="D9" s="27">
        <v>44895</v>
      </c>
      <c r="E9" s="45">
        <f t="shared" ref="E9:E11" si="1">+NETWORKDAYS(C9,D9)</f>
        <v>3</v>
      </c>
      <c r="F9" s="46">
        <f t="shared" ref="F9:F11" ca="1" si="2">IF((NETWORKDAYS(C9,TODAY())/E9)&gt;1,1,IF((NETWORKDAYS(C9,TODAY())/E9)&lt;0,0,NETWORKDAYS(C9,TODAY())/E9))</f>
        <v>1</v>
      </c>
      <c r="G9" s="46">
        <v>1</v>
      </c>
      <c r="H9" s="14" t="str">
        <f t="shared" ca="1" si="0"/>
        <v>Terminado</v>
      </c>
      <c r="I9" s="26"/>
    </row>
    <row r="10" spans="1:10" ht="14.25" customHeight="1" x14ac:dyDescent="0.3">
      <c r="A10" s="29" t="s">
        <v>28</v>
      </c>
      <c r="B10" s="40" t="s">
        <v>26</v>
      </c>
      <c r="C10" s="27">
        <v>44893</v>
      </c>
      <c r="D10" s="27">
        <v>44895</v>
      </c>
      <c r="E10" s="45">
        <f t="shared" si="1"/>
        <v>3</v>
      </c>
      <c r="F10" s="46">
        <f t="shared" ca="1" si="2"/>
        <v>1</v>
      </c>
      <c r="G10" s="46">
        <v>1</v>
      </c>
      <c r="H10" s="14" t="str">
        <f t="shared" ca="1" si="0"/>
        <v>Terminado</v>
      </c>
      <c r="I10" s="26"/>
    </row>
    <row r="11" spans="1:10" ht="13.95" customHeight="1" x14ac:dyDescent="0.3">
      <c r="A11" s="29" t="s">
        <v>29</v>
      </c>
      <c r="B11" s="40" t="s">
        <v>26</v>
      </c>
      <c r="C11" s="27">
        <v>44917</v>
      </c>
      <c r="D11" s="27">
        <v>44917</v>
      </c>
      <c r="E11" s="45">
        <f t="shared" si="1"/>
        <v>1</v>
      </c>
      <c r="F11" s="46">
        <f t="shared" ca="1" si="2"/>
        <v>1</v>
      </c>
      <c r="G11" s="46">
        <v>1</v>
      </c>
      <c r="H11" s="14" t="str">
        <f ca="1">+IF(F11=0,"Pendiente",IF(G11=100%,"Terminado",IF(G11&gt;=F11,"En Tiempo",IF((G11/F11)&gt;=75%,IF((G11/F11)&lt;=99.9%,"R. Leve"),IF((G11/F11)&gt;=50%,IF((G11/F11)&lt;=74%,"R. Medio"),IF((G11/F11)&gt;=50%,IF((G11/F11)&gt;=49%,"R. Crítico"),IF(F11=0,"Pendiente",IF(G11=100%,"Terminado",IF(G11=F11,"En Tiempo",IF(G11&lt;F11,"R. Grave",IF(G11&gt;F11,"Adelantado","")))))))))))</f>
        <v>Terminado</v>
      </c>
      <c r="I11" s="26"/>
    </row>
    <row r="12" spans="1:10" ht="13.95" customHeight="1" x14ac:dyDescent="0.3">
      <c r="A12" s="29" t="s">
        <v>30</v>
      </c>
      <c r="B12" s="40" t="s">
        <v>26</v>
      </c>
      <c r="C12" s="27">
        <v>44946</v>
      </c>
      <c r="D12" s="27">
        <f>C12+7</f>
        <v>44953</v>
      </c>
      <c r="E12" s="45">
        <f>+NETWORKDAYS(C12,D12)</f>
        <v>6</v>
      </c>
      <c r="F12" s="46">
        <f ca="1">IF((NETWORKDAYS(C12,TODAY())/E12)&gt;1,1,IF((NETWORKDAYS(C12,TODAY())/E12)&lt;0,0,NETWORKDAYS(C12,TODAY())/E12))</f>
        <v>1</v>
      </c>
      <c r="G12" s="46">
        <v>1</v>
      </c>
      <c r="H12" s="14" t="str">
        <f ca="1">+IF(F12=0,"Pendiente",IF(G12=100%,"Terminado",IF(G12&gt;=F12,"En Tiempo",IF((G12/F12)&gt;=75%,IF((G12/F12)&lt;=99.9%,"R. Leve"),IF((G12/F12)&gt;=50%,IF((G12/F12)&lt;=74%,"R. Medio"),IF((G12/F12)&gt;=50%,IF((G12/F12)&gt;=49%,"R. Crítico"),IF(F12=0,"Pendiente",IF(G12=100%,"Terminado",IF(G12=F12,"En Tiempo",IF(G12&lt;F12,"R. Grave",IF(G12&gt;F12,"Adelantado","")))))))))))</f>
        <v>Terminado</v>
      </c>
      <c r="I12" s="26"/>
    </row>
    <row r="13" spans="1:10" ht="13.8" x14ac:dyDescent="0.3">
      <c r="A13" s="29"/>
      <c r="B13" s="40"/>
      <c r="C13" s="27"/>
      <c r="D13" s="27"/>
      <c r="E13" s="45"/>
      <c r="F13" s="46"/>
      <c r="G13" s="46"/>
      <c r="H13" s="44"/>
      <c r="I13" s="26"/>
    </row>
    <row r="14" spans="1:10" ht="23.4" x14ac:dyDescent="0.3">
      <c r="A14" s="32" t="s">
        <v>31</v>
      </c>
      <c r="B14" s="33" t="s">
        <v>26</v>
      </c>
      <c r="C14" s="34">
        <f>MIN(C16:C57)</f>
        <v>44909</v>
      </c>
      <c r="D14" s="34">
        <f>MAX(D16:D57)</f>
        <v>45082</v>
      </c>
      <c r="E14" s="71">
        <f>NETWORKDAYS(C14,D14)</f>
        <v>124</v>
      </c>
      <c r="F14" s="72">
        <f ca="1">IF((NETWORKDAYS(C14,TODAY())/E14)&gt;1,1,IF((NETWORKDAYS(C14,TODAY())/E14)&lt;0,0,NETWORKDAYS(C14,TODAY())/E14))</f>
        <v>1</v>
      </c>
      <c r="G14" s="72">
        <f ca="1">IFERROR(F14*(G15/F15),0)</f>
        <v>0.43344827586206897</v>
      </c>
      <c r="H14" s="73"/>
    </row>
    <row r="15" spans="1:10" ht="12" customHeight="1" x14ac:dyDescent="0.3">
      <c r="A15" s="32"/>
      <c r="B15" s="33"/>
      <c r="C15" s="34"/>
      <c r="D15" s="34"/>
      <c r="E15" s="75"/>
      <c r="F15" s="74">
        <f ca="1">AVERAGE(F17:F57)</f>
        <v>1</v>
      </c>
      <c r="G15" s="74">
        <f>AVERAGE(G17:G57)</f>
        <v>0.43344827586206897</v>
      </c>
      <c r="H15" s="73"/>
    </row>
    <row r="16" spans="1:10" ht="14.25" customHeight="1" x14ac:dyDescent="0.3">
      <c r="A16" s="54"/>
      <c r="B16" s="40"/>
      <c r="C16" s="27"/>
      <c r="D16" s="27"/>
      <c r="E16" s="28"/>
      <c r="F16" s="46"/>
      <c r="G16" s="56"/>
      <c r="H16" s="44"/>
    </row>
    <row r="17" spans="1:10" ht="13.95" customHeight="1" x14ac:dyDescent="0.3">
      <c r="A17" s="29" t="s">
        <v>34</v>
      </c>
      <c r="B17" s="40" t="s">
        <v>170</v>
      </c>
      <c r="C17" s="27">
        <v>44991</v>
      </c>
      <c r="D17" s="27">
        <v>44992</v>
      </c>
      <c r="E17" s="45">
        <f t="shared" ref="E17:E21" si="3">+NETWORKDAYS(C17,D17)</f>
        <v>2</v>
      </c>
      <c r="F17" s="46">
        <f t="shared" ref="F17:F21" ca="1" si="4">IF((NETWORKDAYS(C17,TODAY())/E17)&gt;1,1,IF((NETWORKDAYS(C17,TODAY())/E17)&lt;0,0,NETWORKDAYS(C17,TODAY())/E17))</f>
        <v>1</v>
      </c>
      <c r="G17" s="46">
        <v>1</v>
      </c>
      <c r="H17" s="14" t="str">
        <f ca="1">+IF(F17=0,"Pendiente",IF(G17=100%,"Terminado",IF(G17&gt;=F17,"En Tiempo",IF((G17/F17)&gt;=75%,IF((G17/F17)&lt;=99.9%,"R. Leve"),IF((G17/F17)&gt;=50%,IF((G17/F17)&lt;=74%,"R. Medio"),IF((G17/F17)&gt;=50%,IF((G17/F17)&gt;=49%,"R. Crítico"),IF(F17=0,"Pendiente",IF(G17=100%,"Terminado",IF(G17=F17,"En Tiempo",IF(G17&lt;F17,"R. Grave",IF(G17&gt;F17,"Adelantado","")))))))))))</f>
        <v>Terminado</v>
      </c>
      <c r="I17" s="26"/>
    </row>
    <row r="18" spans="1:10" ht="13.95" customHeight="1" x14ac:dyDescent="0.3">
      <c r="A18" s="29" t="s">
        <v>157</v>
      </c>
      <c r="B18" s="40" t="s">
        <v>170</v>
      </c>
      <c r="C18" s="27">
        <v>44909</v>
      </c>
      <c r="D18" s="27">
        <v>45075</v>
      </c>
      <c r="E18" s="45">
        <f t="shared" si="3"/>
        <v>119</v>
      </c>
      <c r="F18" s="46">
        <f t="shared" ca="1" si="4"/>
        <v>1</v>
      </c>
      <c r="G18" s="46">
        <v>0.94</v>
      </c>
      <c r="H18" s="14" t="str">
        <f t="shared" ref="H18:H21" ca="1" si="5">+IF(F18=0,"Pendiente",IF(G18=100%,"Terminado",IF(G18&gt;=F18,"En Tiempo",IF((G18/F18)&gt;=75%,IF((G18/F18)&lt;=99.9%,"R. Leve"),IF((G18/F18)&gt;=50%,IF((G18/F18)&lt;=74%,"R. Medio"),IF((G18/F18)&gt;=50%,IF((G18/F18)&gt;=49%,"R. Crítico"),IF(F18=0,"Pendiente",IF(G18=100%,"Terminado",IF(G18=F18,"En Tiempo",IF(G18&lt;F18,"R. Grave",IF(G18&gt;F18,"Adelantado","")))))))))))</f>
        <v>R. Leve</v>
      </c>
      <c r="I18" s="26"/>
      <c r="J18" s="1" t="s">
        <v>158</v>
      </c>
    </row>
    <row r="19" spans="1:10" ht="13.95" customHeight="1" x14ac:dyDescent="0.3">
      <c r="A19" s="29" t="s">
        <v>171</v>
      </c>
      <c r="B19" s="40" t="s">
        <v>170</v>
      </c>
      <c r="C19" s="27">
        <v>44909</v>
      </c>
      <c r="D19" s="27">
        <v>45075</v>
      </c>
      <c r="E19" s="45">
        <f t="shared" si="3"/>
        <v>119</v>
      </c>
      <c r="F19" s="46">
        <f t="shared" ca="1" si="4"/>
        <v>1</v>
      </c>
      <c r="G19" s="46">
        <v>0.98</v>
      </c>
      <c r="H19" s="14" t="str">
        <f t="shared" ca="1" si="5"/>
        <v>R. Leve</v>
      </c>
      <c r="I19" s="26"/>
      <c r="J19" s="1" t="s">
        <v>158</v>
      </c>
    </row>
    <row r="20" spans="1:10" ht="26.4" x14ac:dyDescent="0.3">
      <c r="A20" s="55" t="s">
        <v>36</v>
      </c>
      <c r="B20" s="40" t="s">
        <v>4</v>
      </c>
      <c r="C20" s="27">
        <v>44928</v>
      </c>
      <c r="D20" s="27">
        <v>44939</v>
      </c>
      <c r="E20" s="45">
        <f t="shared" si="3"/>
        <v>10</v>
      </c>
      <c r="F20" s="46">
        <f t="shared" ca="1" si="4"/>
        <v>1</v>
      </c>
      <c r="G20" s="46">
        <v>1</v>
      </c>
      <c r="H20" s="14" t="str">
        <f t="shared" ca="1" si="5"/>
        <v>Terminado</v>
      </c>
    </row>
    <row r="21" spans="1:10" ht="14.4" customHeight="1" x14ac:dyDescent="0.3">
      <c r="A21" s="55" t="s">
        <v>172</v>
      </c>
      <c r="B21" s="40" t="s">
        <v>4</v>
      </c>
      <c r="C21" s="27">
        <v>45075</v>
      </c>
      <c r="D21" s="27">
        <f>C21+7</f>
        <v>45082</v>
      </c>
      <c r="E21" s="45">
        <f t="shared" si="3"/>
        <v>6</v>
      </c>
      <c r="F21" s="46">
        <f t="shared" ca="1" si="4"/>
        <v>1</v>
      </c>
      <c r="G21" s="46">
        <v>0.4</v>
      </c>
      <c r="H21" s="14" t="str">
        <f t="shared" ca="1" si="5"/>
        <v>R. Grave</v>
      </c>
    </row>
    <row r="22" spans="1:10" ht="13.95" customHeight="1" x14ac:dyDescent="0.3">
      <c r="A22" s="29" t="s">
        <v>173</v>
      </c>
      <c r="B22" s="40" t="s">
        <v>46</v>
      </c>
      <c r="C22" s="27">
        <v>44979</v>
      </c>
      <c r="D22" s="27">
        <v>44979</v>
      </c>
      <c r="E22" s="45">
        <f>+NETWORKDAYS(C22,D22)</f>
        <v>1</v>
      </c>
      <c r="F22" s="46">
        <f ca="1">IF((NETWORKDAYS(C22,TODAY())/E22)&gt;1,1,IF((NETWORKDAYS(C22,TODAY())/E22)&lt;0,0,NETWORKDAYS(C22,TODAY())/E22))</f>
        <v>1</v>
      </c>
      <c r="G22" s="46">
        <v>1</v>
      </c>
      <c r="H22" s="14" t="str">
        <f ca="1">+IF(F22=0,"Pendiente",IF(G22=100%,"Terminado",IF(G22&gt;=F22,"En Tiempo",IF((G22/F22)&gt;=75%,IF((G22/F22)&lt;=99.9%,"R. Leve"),IF((G22/F22)&gt;=50%,IF((G22/F22)&lt;=74%,"R. Medio"),IF((G22/F22)&gt;=50%,IF((G22/F22)&gt;=49%,"R. Crítico"),IF(F22=0,"Pendiente",IF(G22=100%,"Terminado",IF(G22=F22,"En Tiempo",IF(G22&lt;F22,"R. Grave",IF(G22&gt;F22,"Adelantado","")))))))))))</f>
        <v>Terminado</v>
      </c>
      <c r="I22" s="26"/>
    </row>
    <row r="23" spans="1:10" ht="13.95" customHeight="1" x14ac:dyDescent="0.3">
      <c r="A23" s="29" t="s">
        <v>37</v>
      </c>
      <c r="B23" s="40" t="s">
        <v>26</v>
      </c>
      <c r="C23" s="27">
        <v>45005</v>
      </c>
      <c r="D23" s="27">
        <f>C23+7</f>
        <v>45012</v>
      </c>
      <c r="E23" s="45">
        <f t="shared" ref="E23:E25" si="6">+NETWORKDAYS(C23,D23)</f>
        <v>6</v>
      </c>
      <c r="F23" s="46">
        <f t="shared" ref="F23:F25" ca="1" si="7">IF((NETWORKDAYS(C23,TODAY())/E23)&gt;1,1,IF((NETWORKDAYS(C23,TODAY())/E23)&lt;0,0,NETWORKDAYS(C23,TODAY())/E23))</f>
        <v>1</v>
      </c>
      <c r="G23" s="46">
        <v>1</v>
      </c>
      <c r="H23" s="14" t="str">
        <f t="shared" ref="H23:H25" ca="1" si="8">+IF(F23=0,"Pendiente",IF(G23=100%,"Terminado",IF(G23&gt;=F23,"En Tiempo",IF((G23/F23)&gt;=75%,IF((G23/F23)&lt;=99.9%,"R. Leve"),IF((G23/F23)&gt;=50%,IF((G23/F23)&lt;=74%,"R. Medio"),IF((G23/F23)&gt;=50%,IF((G23/F23)&gt;=49%,"R. Crítico"),IF(F23=0,"Pendiente",IF(G23=100%,"Terminado",IF(G23=F23,"En Tiempo",IF(G23&lt;F23,"R. Grave",IF(G23&gt;F23,"Adelantado","")))))))))))</f>
        <v>Terminado</v>
      </c>
      <c r="I23" s="26"/>
    </row>
    <row r="24" spans="1:10" ht="13.95" customHeight="1" x14ac:dyDescent="0.3">
      <c r="A24" s="82" t="s">
        <v>38</v>
      </c>
      <c r="B24" s="83" t="s">
        <v>39</v>
      </c>
      <c r="C24" s="77">
        <v>45041</v>
      </c>
      <c r="D24" s="77">
        <v>45041</v>
      </c>
      <c r="E24" s="84">
        <f t="shared" si="6"/>
        <v>1</v>
      </c>
      <c r="F24" s="85">
        <f t="shared" ca="1" si="7"/>
        <v>1</v>
      </c>
      <c r="G24" s="85">
        <v>1</v>
      </c>
      <c r="H24" s="14" t="str">
        <f t="shared" ca="1" si="8"/>
        <v>Terminado</v>
      </c>
      <c r="I24" s="76"/>
    </row>
    <row r="25" spans="1:10" ht="13.95" customHeight="1" x14ac:dyDescent="0.3">
      <c r="A25" s="82" t="s">
        <v>40</v>
      </c>
      <c r="B25" s="83" t="s">
        <v>26</v>
      </c>
      <c r="C25" s="77">
        <v>45048</v>
      </c>
      <c r="D25" s="77">
        <v>45048</v>
      </c>
      <c r="E25" s="84">
        <f t="shared" si="6"/>
        <v>1</v>
      </c>
      <c r="F25" s="85">
        <f t="shared" ca="1" si="7"/>
        <v>1</v>
      </c>
      <c r="G25" s="85">
        <v>1</v>
      </c>
      <c r="H25" s="14" t="str">
        <f t="shared" ca="1" si="8"/>
        <v>Terminado</v>
      </c>
      <c r="I25" s="76"/>
      <c r="J25" s="1" t="s">
        <v>159</v>
      </c>
    </row>
    <row r="26" spans="1:10" ht="14.25" customHeight="1" x14ac:dyDescent="0.3">
      <c r="A26" s="54"/>
      <c r="B26" s="40"/>
      <c r="C26" s="27"/>
      <c r="D26" s="27"/>
      <c r="E26" s="28"/>
      <c r="F26" s="46"/>
      <c r="G26" s="56"/>
      <c r="H26" s="44"/>
    </row>
    <row r="27" spans="1:10" ht="13.8" x14ac:dyDescent="0.3">
      <c r="A27" s="52"/>
      <c r="B27" s="40"/>
      <c r="C27" s="27"/>
      <c r="D27" s="27"/>
      <c r="E27" s="28"/>
      <c r="F27" s="46"/>
      <c r="G27" s="56"/>
      <c r="H27" s="44"/>
      <c r="I27" s="26"/>
    </row>
    <row r="28" spans="1:10" ht="13.8" x14ac:dyDescent="0.3">
      <c r="A28" s="52" t="s">
        <v>32</v>
      </c>
      <c r="B28" s="40"/>
      <c r="C28" s="41"/>
      <c r="D28" s="41"/>
      <c r="E28" s="42"/>
      <c r="F28" s="43"/>
      <c r="G28" s="43"/>
      <c r="H28" s="44"/>
      <c r="I28" s="76"/>
    </row>
    <row r="29" spans="1:10" ht="14.25" customHeight="1" x14ac:dyDescent="0.3">
      <c r="A29" s="51" t="s">
        <v>41</v>
      </c>
      <c r="B29" s="40" t="s">
        <v>35</v>
      </c>
      <c r="C29" s="27">
        <v>45061</v>
      </c>
      <c r="D29" s="27">
        <v>45065</v>
      </c>
      <c r="E29" s="45">
        <f>+NETWORKDAYS(C29,D29)</f>
        <v>5</v>
      </c>
      <c r="F29" s="46">
        <f ca="1">IF((NETWORKDAYS(C29,TODAY())/E29)&gt;1,1,IF((NETWORKDAYS(C29,TODAY())/E29)&lt;0,0,NETWORKDAYS(C29,TODAY())/E29))</f>
        <v>1</v>
      </c>
      <c r="G29" s="46">
        <v>1</v>
      </c>
      <c r="H29" s="14" t="str">
        <f ca="1">+IF(F29=0,"Pendiente",IF(G29=100%,"Terminado",IF(G29&gt;=F29,"En Tiempo",IF((G29/F29)&gt;=75%,IF((G29/F29)&lt;=99.9%,"R. Leve"),IF((G29/F29)&gt;=50%,IF((G29/F29)&lt;=74%,"R. Medio"),IF((G29/F29)&gt;=50%,IF((G29/F29)&gt;=49%,"R. Crítico"),IF(F29=0,"Pendiente",IF(G29=100%,"Terminado",IF(G29=F29,"En Tiempo",IF(G29&lt;F29,"R. Grave",IF(G29&gt;F29,"Adelantado","")))))))))))</f>
        <v>Terminado</v>
      </c>
      <c r="J29" s="1" t="s">
        <v>160</v>
      </c>
    </row>
    <row r="30" spans="1:10" ht="14.4" customHeight="1" x14ac:dyDescent="0.3">
      <c r="A30" s="51" t="s">
        <v>42</v>
      </c>
      <c r="B30" s="40" t="s">
        <v>43</v>
      </c>
      <c r="C30" s="27">
        <v>45082</v>
      </c>
      <c r="D30" s="27">
        <v>45082</v>
      </c>
      <c r="E30" s="45">
        <f t="shared" ref="E30:E33" si="9">+NETWORKDAYS(C30,D30)</f>
        <v>1</v>
      </c>
      <c r="F30" s="46">
        <f t="shared" ref="F30:F33" ca="1" si="10">IF((NETWORKDAYS(C30,TODAY())/E30)&gt;1,1,IF((NETWORKDAYS(C30,TODAY())/E30)&lt;0,0,NETWORKDAYS(C30,TODAY())/E30))</f>
        <v>1</v>
      </c>
      <c r="G30" s="46">
        <v>0</v>
      </c>
      <c r="H30" s="14" t="str">
        <f t="shared" ref="H30:H33" ca="1" si="11">+IF(F30=0,"Pendiente",IF(G30=100%,"Terminado",IF(G30&gt;=F30,"En Tiempo",IF((G30/F30)&gt;=75%,IF((G30/F30)&lt;=99.9%,"R. Leve"),IF((G30/F30)&gt;=50%,IF((G30/F30)&lt;=74%,"R. Medio"),IF((G30/F30)&gt;=50%,IF((G30/F30)&gt;=49%,"R. Crítico"),IF(F30=0,"Pendiente",IF(G30=100%,"Terminado",IF(G30=F30,"En Tiempo",IF(G30&lt;F30,"R. Grave",IF(G30&gt;F30,"Adelantado","")))))))))))</f>
        <v>R. Grave</v>
      </c>
      <c r="J30" s="1" t="s">
        <v>161</v>
      </c>
    </row>
    <row r="31" spans="1:10" ht="14.25" customHeight="1" x14ac:dyDescent="0.3">
      <c r="A31" s="51" t="s">
        <v>44</v>
      </c>
      <c r="B31" s="40" t="s">
        <v>43</v>
      </c>
      <c r="C31" s="27">
        <f>D30</f>
        <v>45082</v>
      </c>
      <c r="D31" s="27">
        <v>45082</v>
      </c>
      <c r="E31" s="45">
        <f t="shared" si="9"/>
        <v>1</v>
      </c>
      <c r="F31" s="46">
        <f t="shared" ca="1" si="10"/>
        <v>1</v>
      </c>
      <c r="G31" s="46">
        <v>0</v>
      </c>
      <c r="H31" s="14" t="str">
        <f t="shared" ca="1" si="11"/>
        <v>R. Grave</v>
      </c>
      <c r="J31" s="1" t="s">
        <v>162</v>
      </c>
    </row>
    <row r="32" spans="1:10" ht="14.25" customHeight="1" x14ac:dyDescent="0.3">
      <c r="A32" s="51" t="s">
        <v>49</v>
      </c>
      <c r="B32" s="40" t="s">
        <v>43</v>
      </c>
      <c r="C32" s="27">
        <f>C31</f>
        <v>45082</v>
      </c>
      <c r="D32" s="27">
        <v>45082</v>
      </c>
      <c r="E32" s="45">
        <f t="shared" si="9"/>
        <v>1</v>
      </c>
      <c r="F32" s="46">
        <f t="shared" ca="1" si="10"/>
        <v>1</v>
      </c>
      <c r="G32" s="46">
        <v>0</v>
      </c>
      <c r="H32" s="14" t="str">
        <f t="shared" ca="1" si="11"/>
        <v>R. Grave</v>
      </c>
      <c r="J32" s="1" t="s">
        <v>162</v>
      </c>
    </row>
    <row r="33" spans="1:11" ht="14.25" customHeight="1" x14ac:dyDescent="0.3">
      <c r="A33" s="51" t="s">
        <v>45</v>
      </c>
      <c r="B33" s="40" t="s">
        <v>43</v>
      </c>
      <c r="C33" s="27">
        <f>D32</f>
        <v>45082</v>
      </c>
      <c r="D33" s="27">
        <v>45082</v>
      </c>
      <c r="E33" s="45">
        <f t="shared" si="9"/>
        <v>1</v>
      </c>
      <c r="F33" s="46">
        <f t="shared" ca="1" si="10"/>
        <v>1</v>
      </c>
      <c r="G33" s="46">
        <v>0</v>
      </c>
      <c r="H33" s="14" t="str">
        <f t="shared" ca="1" si="11"/>
        <v>R. Grave</v>
      </c>
      <c r="J33" s="1" t="s">
        <v>163</v>
      </c>
    </row>
    <row r="34" spans="1:11" ht="14.25" customHeight="1" x14ac:dyDescent="0.3">
      <c r="A34" s="51" t="s">
        <v>50</v>
      </c>
      <c r="B34" s="40" t="s">
        <v>43</v>
      </c>
      <c r="C34" s="27">
        <v>45082</v>
      </c>
      <c r="D34" s="27">
        <v>45082</v>
      </c>
      <c r="E34" s="45">
        <f>+NETWORKDAYS(C34,D34)</f>
        <v>1</v>
      </c>
      <c r="F34" s="46">
        <f ca="1">IF((NETWORKDAYS(C34,TODAY())/E34)&gt;1,1,IF((NETWORKDAYS(C34,TODAY())/E34)&lt;0,0,NETWORKDAYS(C34,TODAY())/E34))</f>
        <v>1</v>
      </c>
      <c r="G34" s="46">
        <v>0</v>
      </c>
      <c r="H34" s="14" t="str">
        <f ca="1">+IF(F34=0,"Pendiente",IF(G34=100%,"Terminado",IF(G34&gt;=F34,"En Tiempo",IF((G34/F34)&gt;=75%,IF((G34/F34)&lt;=99.9%,"R. Leve"),IF((G34/F34)&gt;=50%,IF((G34/F34)&lt;=74%,"R. Medio"),IF((G34/F34)&gt;=50%,IF((G34/F34)&gt;=49%,"R. Crítico"),IF(F34=0,"Pendiente",IF(G34=100%,"Terminado",IF(G34=F34,"En Tiempo",IF(G34&lt;F34,"R. Grave",IF(G34&gt;F34,"Adelantado","")))))))))))</f>
        <v>R. Grave</v>
      </c>
      <c r="J34" s="1" t="s">
        <v>164</v>
      </c>
      <c r="K34" s="1" t="s">
        <v>174</v>
      </c>
    </row>
    <row r="35" spans="1:11" ht="13.8" x14ac:dyDescent="0.3">
      <c r="A35" s="52" t="s">
        <v>32</v>
      </c>
      <c r="B35" s="40"/>
      <c r="C35" s="41"/>
      <c r="D35" s="41"/>
      <c r="E35" s="42"/>
      <c r="F35" s="43"/>
      <c r="G35" s="43"/>
      <c r="H35" s="44"/>
      <c r="I35" s="76"/>
    </row>
    <row r="36" spans="1:11" ht="14.4" customHeight="1" x14ac:dyDescent="0.3">
      <c r="A36" s="51" t="s">
        <v>42</v>
      </c>
      <c r="B36" s="40" t="s">
        <v>43</v>
      </c>
      <c r="C36" s="27">
        <v>45061</v>
      </c>
      <c r="D36" s="27">
        <v>45065</v>
      </c>
      <c r="E36" s="45">
        <f t="shared" ref="E36:E39" si="12">+NETWORKDAYS(C36,D36)</f>
        <v>5</v>
      </c>
      <c r="F36" s="46">
        <f t="shared" ref="F36:F39" ca="1" si="13">IF((NETWORKDAYS(C36,TODAY())/E36)&gt;1,1,IF((NETWORKDAYS(C36,TODAY())/E36)&lt;0,0,NETWORKDAYS(C36,TODAY())/E36))</f>
        <v>1</v>
      </c>
      <c r="G36" s="46">
        <v>1</v>
      </c>
      <c r="H36" s="14" t="str">
        <f t="shared" ref="H36:H39" ca="1" si="14">+IF(F36=0,"Pendiente",IF(G36=100%,"Terminado",IF(G36&gt;=F36,"En Tiempo",IF((G36/F36)&gt;=75%,IF((G36/F36)&lt;=99.9%,"R. Leve"),IF((G36/F36)&gt;=50%,IF((G36/F36)&lt;=74%,"R. Medio"),IF((G36/F36)&gt;=50%,IF((G36/F36)&gt;=49%,"R. Crítico"),IF(F36=0,"Pendiente",IF(G36=100%,"Terminado",IF(G36=F36,"En Tiempo",IF(G36&lt;F36,"R. Grave",IF(G36&gt;F36,"Adelantado","")))))))))))</f>
        <v>Terminado</v>
      </c>
      <c r="J36" s="1" t="s">
        <v>160</v>
      </c>
    </row>
    <row r="37" spans="1:11" ht="14.25" customHeight="1" x14ac:dyDescent="0.3">
      <c r="A37" s="51" t="s">
        <v>48</v>
      </c>
      <c r="B37" s="40" t="s">
        <v>43</v>
      </c>
      <c r="C37" s="27">
        <v>45082</v>
      </c>
      <c r="D37" s="27">
        <v>45082</v>
      </c>
      <c r="E37" s="45">
        <f t="shared" si="12"/>
        <v>1</v>
      </c>
      <c r="F37" s="46">
        <f t="shared" ca="1" si="13"/>
        <v>1</v>
      </c>
      <c r="G37" s="46">
        <v>0</v>
      </c>
      <c r="H37" s="14" t="str">
        <f t="shared" ca="1" si="14"/>
        <v>R. Grave</v>
      </c>
      <c r="J37" s="1" t="s">
        <v>162</v>
      </c>
    </row>
    <row r="38" spans="1:11" ht="14.25" customHeight="1" x14ac:dyDescent="0.3">
      <c r="A38" s="51" t="s">
        <v>49</v>
      </c>
      <c r="B38" s="40" t="s">
        <v>43</v>
      </c>
      <c r="C38" s="27">
        <f>D37</f>
        <v>45082</v>
      </c>
      <c r="D38" s="27">
        <v>45082</v>
      </c>
      <c r="E38" s="45">
        <f t="shared" si="12"/>
        <v>1</v>
      </c>
      <c r="F38" s="46">
        <f t="shared" ca="1" si="13"/>
        <v>1</v>
      </c>
      <c r="G38" s="46">
        <v>0</v>
      </c>
      <c r="H38" s="14" t="str">
        <f t="shared" ca="1" si="14"/>
        <v>R. Grave</v>
      </c>
      <c r="J38" s="1" t="s">
        <v>162</v>
      </c>
    </row>
    <row r="39" spans="1:11" ht="14.25" customHeight="1" x14ac:dyDescent="0.3">
      <c r="A39" s="51" t="s">
        <v>45</v>
      </c>
      <c r="B39" s="40" t="s">
        <v>43</v>
      </c>
      <c r="C39" s="27">
        <f>C38</f>
        <v>45082</v>
      </c>
      <c r="D39" s="27">
        <v>45082</v>
      </c>
      <c r="E39" s="45">
        <f t="shared" si="12"/>
        <v>1</v>
      </c>
      <c r="F39" s="46">
        <f t="shared" ca="1" si="13"/>
        <v>1</v>
      </c>
      <c r="G39" s="46">
        <v>0</v>
      </c>
      <c r="H39" s="14" t="str">
        <f t="shared" ca="1" si="14"/>
        <v>R. Grave</v>
      </c>
      <c r="J39" s="1" t="s">
        <v>163</v>
      </c>
    </row>
    <row r="40" spans="1:11" ht="14.25" customHeight="1" x14ac:dyDescent="0.3">
      <c r="A40" s="51" t="s">
        <v>50</v>
      </c>
      <c r="B40" s="40" t="s">
        <v>43</v>
      </c>
      <c r="C40" s="27">
        <f>D39</f>
        <v>45082</v>
      </c>
      <c r="D40" s="27">
        <v>45082</v>
      </c>
      <c r="E40" s="45">
        <f>+NETWORKDAYS(C40,D40)</f>
        <v>1</v>
      </c>
      <c r="F40" s="46">
        <f ca="1">IF((NETWORKDAYS(C40,TODAY())/E40)&gt;1,1,IF((NETWORKDAYS(C40,TODAY())/E40)&lt;0,0,NETWORKDAYS(C40,TODAY())/E40))</f>
        <v>1</v>
      </c>
      <c r="G40" s="46">
        <v>0</v>
      </c>
      <c r="H40" s="14" t="str">
        <f ca="1">+IF(F40=0,"Pendiente",IF(G40=100%,"Terminado",IF(G40&gt;=F40,"En Tiempo",IF((G40/F40)&gt;=75%,IF((G40/F40)&lt;=99.9%,"R. Leve"),IF((G40/F40)&gt;=50%,IF((G40/F40)&lt;=74%,"R. Medio"),IF((G40/F40)&gt;=50%,IF((G40/F40)&gt;=49%,"R. Crítico"),IF(F40=0,"Pendiente",IF(G40=100%,"Terminado",IF(G40=F40,"En Tiempo",IF(G40&lt;F40,"R. Grave",IF(G40&gt;F40,"Adelantado","")))))))))))</f>
        <v>R. Grave</v>
      </c>
      <c r="J40" s="1" t="s">
        <v>164</v>
      </c>
    </row>
    <row r="41" spans="1:11" ht="14.25" customHeight="1" x14ac:dyDescent="0.3">
      <c r="A41" s="51" t="s">
        <v>41</v>
      </c>
      <c r="B41" s="40" t="s">
        <v>116</v>
      </c>
      <c r="C41" s="27">
        <v>45082</v>
      </c>
      <c r="D41" s="27">
        <v>45082</v>
      </c>
      <c r="E41" s="45">
        <f>+NETWORKDAYS(C41,D41)</f>
        <v>1</v>
      </c>
      <c r="F41" s="46">
        <f ca="1">IF((NETWORKDAYS(C41,TODAY())/E41)&gt;1,1,IF((NETWORKDAYS(C41,TODAY())/E41)&lt;0,0,NETWORKDAYS(C41,TODAY())/E41))</f>
        <v>1</v>
      </c>
      <c r="G41" s="46">
        <v>0</v>
      </c>
      <c r="H41" s="14" t="str">
        <f ca="1">+IF(F41=0,"Pendiente",IF(G41=100%,"Terminado",IF(G41&gt;=F41,"En Tiempo",IF((G41/F41)&gt;=75%,IF((G41/F41)&lt;=99.9%,"R. Leve"),IF((G41/F41)&gt;=50%,IF((G41/F41)&lt;=74%,"R. Medio"),IF((G41/F41)&gt;=50%,IF((G41/F41)&gt;=49%,"R. Crítico"),IF(F41=0,"Pendiente",IF(G41=100%,"Terminado",IF(G41=F41,"En Tiempo",IF(G41&lt;F41,"R. Grave",IF(G41&gt;F41,"Adelantado","")))))))))))</f>
        <v>R. Grave</v>
      </c>
      <c r="J41" s="1" t="s">
        <v>164</v>
      </c>
    </row>
    <row r="42" spans="1:11" ht="13.8" x14ac:dyDescent="0.3">
      <c r="A42" s="52" t="s">
        <v>51</v>
      </c>
      <c r="B42" s="40"/>
      <c r="C42" s="41"/>
      <c r="D42" s="41"/>
      <c r="E42" s="42"/>
      <c r="F42" s="43"/>
      <c r="G42" s="43"/>
      <c r="H42" s="44"/>
      <c r="I42" s="76"/>
    </row>
    <row r="43" spans="1:11" ht="14.4" customHeight="1" x14ac:dyDescent="0.3">
      <c r="A43" s="51" t="s">
        <v>42</v>
      </c>
      <c r="B43" s="40" t="s">
        <v>43</v>
      </c>
      <c r="C43" s="27">
        <v>45082</v>
      </c>
      <c r="D43" s="27">
        <v>45082</v>
      </c>
      <c r="E43" s="45">
        <f>+NETWORKDAYS(C43,D43)</f>
        <v>1</v>
      </c>
      <c r="F43" s="46">
        <f ca="1">IF((NETWORKDAYS(C43,TODAY())/E43)&gt;1,1,IF((NETWORKDAYS(C43,TODAY())/E43)&lt;0,0,NETWORKDAYS(C43,TODAY())/E43))</f>
        <v>1</v>
      </c>
      <c r="G43" s="46">
        <v>0</v>
      </c>
      <c r="H43" s="14" t="str">
        <f t="shared" ref="H43:H46" ca="1" si="15">+IF(F43=0,"Pendiente",IF(G43=100%,"Terminado",IF(G43&gt;=F43,"En Tiempo",IF((G43/F43)&gt;=75%,IF((G43/F43)&lt;=99.9%,"R. Leve"),IF((G43/F43)&gt;=50%,IF((G43/F43)&lt;=74%,"R. Medio"),IF((G43/F43)&gt;=50%,IF((G43/F43)&gt;=49%,"R. Crítico"),IF(F43=0,"Pendiente",IF(G43=100%,"Terminado",IF(G43=F43,"En Tiempo",IF(G43&lt;F43,"R. Grave",IF(G43&gt;F43,"Adelantado","")))))))))))</f>
        <v>R. Grave</v>
      </c>
      <c r="J43" s="1" t="s">
        <v>161</v>
      </c>
    </row>
    <row r="44" spans="1:11" ht="14.25" customHeight="1" x14ac:dyDescent="0.3">
      <c r="A44" s="51" t="s">
        <v>48</v>
      </c>
      <c r="B44" s="40" t="s">
        <v>43</v>
      </c>
      <c r="C44" s="27">
        <f>D43</f>
        <v>45082</v>
      </c>
      <c r="D44" s="27">
        <v>45082</v>
      </c>
      <c r="E44" s="45">
        <f>+NETWORKDAYS(C44,D44)</f>
        <v>1</v>
      </c>
      <c r="F44" s="46">
        <f ca="1">IF((NETWORKDAYS(C44,TODAY())/E44)&gt;1,1,IF((NETWORKDAYS(C44,TODAY())/E44)&lt;0,0,NETWORKDAYS(C44,TODAY())/E44))</f>
        <v>1</v>
      </c>
      <c r="G44" s="46">
        <v>0</v>
      </c>
      <c r="H44" s="14" t="str">
        <f t="shared" ca="1" si="15"/>
        <v>R. Grave</v>
      </c>
      <c r="J44" s="1" t="s">
        <v>162</v>
      </c>
    </row>
    <row r="45" spans="1:11" ht="14.25" customHeight="1" x14ac:dyDescent="0.3">
      <c r="A45" s="51" t="s">
        <v>49</v>
      </c>
      <c r="B45" s="40" t="s">
        <v>43</v>
      </c>
      <c r="C45" s="27">
        <f>C44</f>
        <v>45082</v>
      </c>
      <c r="D45" s="27">
        <v>45082</v>
      </c>
      <c r="E45" s="45">
        <f t="shared" ref="E45" si="16">+NETWORKDAYS(C45,D45)</f>
        <v>1</v>
      </c>
      <c r="F45" s="46">
        <f t="shared" ref="F45" ca="1" si="17">IF((NETWORKDAYS(C45,TODAY())/E45)&gt;1,1,IF((NETWORKDAYS(C45,TODAY())/E45)&lt;0,0,NETWORKDAYS(C45,TODAY())/E45))</f>
        <v>1</v>
      </c>
      <c r="G45" s="46">
        <v>0</v>
      </c>
      <c r="H45" s="14" t="str">
        <f t="shared" ca="1" si="15"/>
        <v>R. Grave</v>
      </c>
      <c r="J45" s="1" t="s">
        <v>162</v>
      </c>
    </row>
    <row r="46" spans="1:11" ht="14.25" customHeight="1" x14ac:dyDescent="0.3">
      <c r="A46" s="51" t="s">
        <v>45</v>
      </c>
      <c r="B46" s="40" t="s">
        <v>43</v>
      </c>
      <c r="C46" s="27">
        <f>D45</f>
        <v>45082</v>
      </c>
      <c r="D46" s="27">
        <v>45082</v>
      </c>
      <c r="E46" s="45">
        <f>+NETWORKDAYS(C46,D46)</f>
        <v>1</v>
      </c>
      <c r="F46" s="46">
        <f ca="1">IF((NETWORKDAYS(C46,TODAY())/E46)&gt;1,1,IF((NETWORKDAYS(C46,TODAY())/E46)&lt;0,0,NETWORKDAYS(C46,TODAY())/E46))</f>
        <v>1</v>
      </c>
      <c r="G46" s="46">
        <v>0</v>
      </c>
      <c r="H46" s="14" t="str">
        <f t="shared" ca="1" si="15"/>
        <v>R. Grave</v>
      </c>
      <c r="J46" s="1" t="s">
        <v>162</v>
      </c>
    </row>
    <row r="47" spans="1:11" ht="14.25" customHeight="1" x14ac:dyDescent="0.3">
      <c r="A47" s="51" t="s">
        <v>50</v>
      </c>
      <c r="B47" s="40" t="s">
        <v>43</v>
      </c>
      <c r="C47" s="27">
        <v>45082</v>
      </c>
      <c r="D47" s="27">
        <v>45082</v>
      </c>
      <c r="E47" s="45">
        <f>+NETWORKDAYS(C47,D47)</f>
        <v>1</v>
      </c>
      <c r="F47" s="46">
        <f ca="1">IF((NETWORKDAYS(C47,TODAY())/E47)&gt;1,1,IF((NETWORKDAYS(C47,TODAY())/E47)&lt;0,0,NETWORKDAYS(C47,TODAY())/E47))</f>
        <v>1</v>
      </c>
      <c r="G47" s="46">
        <v>0</v>
      </c>
      <c r="H47" s="14" t="str">
        <f ca="1">+IF(F47=0,"Pendiente",IF(G47=100%,"Terminado",IF(G47&gt;=F47,"En Tiempo",IF((G47/F47)&gt;=75%,IF((G47/F47)&lt;=99.9%,"R. Leve"),IF((G47/F47)&gt;=50%,IF((G47/F47)&lt;=74%,"R. Medio"),IF((G47/F47)&gt;=50%,IF((G47/F47)&gt;=49%,"R. Crítico"),IF(F47=0,"Pendiente",IF(G47=100%,"Terminado",IF(G47=F47,"En Tiempo",IF(G47&lt;F47,"R. Grave",IF(G47&gt;F47,"Adelantado","")))))))))))</f>
        <v>R. Grave</v>
      </c>
      <c r="J47" s="1" t="s">
        <v>163</v>
      </c>
    </row>
    <row r="48" spans="1:11" ht="14.25" customHeight="1" x14ac:dyDescent="0.3">
      <c r="A48" s="53"/>
      <c r="B48" s="40"/>
      <c r="C48" s="27"/>
      <c r="D48" s="27"/>
      <c r="E48" s="45"/>
      <c r="F48" s="46"/>
      <c r="G48" s="46"/>
      <c r="H48" s="44"/>
    </row>
    <row r="49" spans="1:10" ht="14.25" customHeight="1" x14ac:dyDescent="0.3">
      <c r="A49" s="52" t="s">
        <v>175</v>
      </c>
      <c r="B49" s="36" t="s">
        <v>53</v>
      </c>
      <c r="C49" s="27"/>
      <c r="D49" s="27"/>
      <c r="E49" s="45"/>
      <c r="F49" s="46"/>
      <c r="G49" s="46"/>
      <c r="H49" s="44"/>
    </row>
    <row r="50" spans="1:10" ht="14.25" customHeight="1" x14ac:dyDescent="0.3">
      <c r="A50" s="51"/>
      <c r="B50" s="40"/>
      <c r="C50" s="27"/>
      <c r="D50" s="27"/>
      <c r="E50" s="45"/>
      <c r="F50" s="46"/>
      <c r="G50" s="46"/>
      <c r="H50" s="44"/>
    </row>
    <row r="51" spans="1:10" ht="14.25" customHeight="1" x14ac:dyDescent="0.3">
      <c r="A51" s="48" t="s">
        <v>52</v>
      </c>
      <c r="B51" s="40" t="s">
        <v>53</v>
      </c>
      <c r="C51" s="27">
        <v>44932</v>
      </c>
      <c r="D51" s="27">
        <v>44932</v>
      </c>
      <c r="E51" s="45">
        <f>+NETWORKDAYS(C51,D51)</f>
        <v>1</v>
      </c>
      <c r="F51" s="46">
        <f ca="1">IF((NETWORKDAYS(C51,TODAY())/E51)&gt;1,1,IF((NETWORKDAYS(C51,TODAY())/E51)&lt;0,0,NETWORKDAYS(C51,TODAY())/E51))</f>
        <v>1</v>
      </c>
      <c r="G51" s="46">
        <v>1</v>
      </c>
      <c r="H51" s="14" t="str">
        <f ca="1">+IF(F51=0,"Pendiente",IF(G51=100%,"Terminado",IF(G51&gt;=F51,"En Tiempo",IF((G51/F51)&gt;=75%,IF((G51/F51)&lt;=99.9%,"R. Leve"),IF((G51/F51)&gt;=50%,IF((G51/F51)&lt;=74%,"R. Medio"),IF((G51/F51)&gt;=50%,IF((G51/F51)&gt;=49%,"R. Crítico"),IF(F51=0,"Pendiente",IF(G51=100%,"Terminado",IF(G51=F51,"En Tiempo",IF(G51&lt;F51,"R. Grave",IF(G51&gt;F51,"Adelantado","")))))))))))</f>
        <v>Terminado</v>
      </c>
      <c r="I51" s="26"/>
    </row>
    <row r="52" spans="1:10" ht="15" customHeight="1" x14ac:dyDescent="0.3">
      <c r="A52" s="60" t="s">
        <v>176</v>
      </c>
      <c r="B52" s="61" t="s">
        <v>53</v>
      </c>
      <c r="C52" s="27">
        <v>45068</v>
      </c>
      <c r="D52" s="27">
        <f>C52+7</f>
        <v>45075</v>
      </c>
      <c r="E52" s="62">
        <f>+NETWORKDAYS(C52,D52)</f>
        <v>6</v>
      </c>
      <c r="F52" s="63">
        <f ca="1">IF((NETWORKDAYS(C52,TODAY())/E52)&gt;1,1,IF((NETWORKDAYS(C52,TODAY())/E52)&lt;0,0,NETWORKDAYS(C52,TODAY())/E52))</f>
        <v>1</v>
      </c>
      <c r="G52" s="63">
        <v>0.8</v>
      </c>
      <c r="H52" s="49" t="str">
        <f ca="1">+IF(F52=0,"Pendiente",IF(G52=100%,"Terminado",IF(G52&gt;=F52,"En Tiempo",IF((G52/F52)&gt;=75%,IF((G52/F52)&lt;=99.9%,"R. Leve"),IF((G52/F52)&gt;=50%,IF((G52/F52)&lt;=74%,"R. Medio"),IF((G52/F52)&gt;=50%,IF((G52/F52)&gt;=49%,"R. Crítico"),IF(F52=0,"Pendiente",IF(G52=100%,"Terminado",IF(G52=F52,"En Tiempo",IF(G52&lt;F52,"R. Grave",IF(G52&gt;F52,"Adelantado","")))))))))))</f>
        <v>R. Leve</v>
      </c>
      <c r="I52" s="26"/>
    </row>
    <row r="53" spans="1:10" ht="14.25" customHeight="1" x14ac:dyDescent="0.3">
      <c r="A53" s="50"/>
      <c r="B53" s="40"/>
      <c r="C53" s="27"/>
      <c r="D53" s="27"/>
      <c r="E53" s="45"/>
      <c r="F53" s="46"/>
      <c r="G53" s="46"/>
      <c r="H53" s="44"/>
      <c r="I53" s="26"/>
    </row>
    <row r="54" spans="1:10" ht="14.25" customHeight="1" x14ac:dyDescent="0.3">
      <c r="A54" s="47" t="s">
        <v>3</v>
      </c>
      <c r="B54" s="36" t="s">
        <v>26</v>
      </c>
      <c r="C54" s="27"/>
      <c r="D54" s="27"/>
      <c r="E54" s="28"/>
      <c r="F54" s="46"/>
      <c r="G54" s="56"/>
      <c r="H54" s="44"/>
    </row>
    <row r="55" spans="1:10" ht="14.25" customHeight="1" x14ac:dyDescent="0.3">
      <c r="A55" s="50"/>
      <c r="B55" s="40"/>
      <c r="C55" s="27"/>
      <c r="D55" s="27"/>
      <c r="E55" s="28"/>
      <c r="F55" s="46"/>
      <c r="G55" s="56"/>
      <c r="H55" s="44"/>
    </row>
    <row r="56" spans="1:10" ht="14.25" customHeight="1" x14ac:dyDescent="0.3">
      <c r="A56" s="48" t="s">
        <v>165</v>
      </c>
      <c r="B56" s="40" t="s">
        <v>4</v>
      </c>
      <c r="C56" s="27">
        <v>45068</v>
      </c>
      <c r="D56" s="27">
        <f t="shared" ref="D56" si="18">$D$82</f>
        <v>45082</v>
      </c>
      <c r="E56" s="45">
        <f>+NETWORKDAYS(C56,D56)</f>
        <v>11</v>
      </c>
      <c r="F56" s="46">
        <f ca="1">IF((NETWORKDAYS(C56,TODAY())/E56)&gt;1,1,IF((NETWORKDAYS(C56,TODAY())/E56)&lt;0,0,NETWORKDAYS(C56,TODAY())/E56))</f>
        <v>1</v>
      </c>
      <c r="G56" s="46">
        <v>0.45</v>
      </c>
      <c r="H56" s="14" t="str">
        <f ca="1">+IF(F56=0,"Pendiente",IF(G56=100%,"Terminado",IF(G56&gt;=F56,"En Tiempo",IF((G56/F56)&gt;=75%,IF((G56/F56)&lt;=99.9%,"R. Leve"),IF((G56/F56)&gt;=50%,IF((G56/F56)&lt;=74%,"R. Medio"),IF((G56/F56)&gt;=50%,IF((G56/F56)&gt;=49%,"R. Crítico"),IF(F56=0,"Pendiente",IF(G56=100%,"Terminado",IF(G56=F56,"En Tiempo",IF(G56&lt;F56,"R. Grave",IF(G56&gt;F56,"Adelantado","")))))))))))</f>
        <v>R. Grave</v>
      </c>
      <c r="J56" s="1" t="s">
        <v>177</v>
      </c>
    </row>
    <row r="57" spans="1:10" ht="15" customHeight="1" x14ac:dyDescent="0.3">
      <c r="A57" s="29"/>
      <c r="B57" s="40"/>
      <c r="C57" s="27"/>
      <c r="D57" s="27"/>
      <c r="E57" s="45"/>
      <c r="F57" s="46"/>
      <c r="G57" s="46"/>
      <c r="H57" s="44"/>
      <c r="I57" s="26"/>
    </row>
    <row r="58" spans="1:10" ht="23.4" x14ac:dyDescent="0.3">
      <c r="A58" s="70" t="s">
        <v>54</v>
      </c>
      <c r="B58" s="34" t="s">
        <v>5</v>
      </c>
      <c r="C58" s="34">
        <f>MIN(C60:C83)</f>
        <v>45068</v>
      </c>
      <c r="D58" s="34">
        <f>MAX(D60:D83)</f>
        <v>45082</v>
      </c>
      <c r="E58" s="71">
        <f>NETWORKDAYS(C58,D58)</f>
        <v>11</v>
      </c>
      <c r="F58" s="72">
        <f ca="1">IF((NETWORKDAYS(C58,TODAY())/E58)&gt;1,1,IF((NETWORKDAYS(C58,TODAY())/E58)&lt;0,0,NETWORKDAYS(C58,TODAY())/E58))</f>
        <v>1</v>
      </c>
      <c r="G58" s="72">
        <f ca="1">IFERROR(F58*(G59/F59),0)</f>
        <v>0.10357142857142856</v>
      </c>
      <c r="H58" s="73"/>
      <c r="J58" s="1" t="s">
        <v>166</v>
      </c>
    </row>
    <row r="59" spans="1:10" ht="12" customHeight="1" x14ac:dyDescent="0.3">
      <c r="A59" s="32" t="s">
        <v>55</v>
      </c>
      <c r="B59" s="33"/>
      <c r="C59" s="34"/>
      <c r="D59" s="34"/>
      <c r="E59" s="75"/>
      <c r="F59" s="74">
        <f ca="1">AVERAGE(F61:F83)</f>
        <v>1</v>
      </c>
      <c r="G59" s="74">
        <f>AVERAGE(G61:G83)</f>
        <v>0.10357142857142856</v>
      </c>
      <c r="H59" s="73"/>
    </row>
    <row r="60" spans="1:10" ht="14.25" customHeight="1" x14ac:dyDescent="0.3">
      <c r="A60" s="54"/>
      <c r="B60" s="57"/>
      <c r="C60" s="27"/>
      <c r="D60" s="27"/>
      <c r="E60" s="28"/>
      <c r="F60" s="56"/>
      <c r="G60" s="56"/>
      <c r="H60" s="56"/>
    </row>
    <row r="61" spans="1:10" ht="14.25" customHeight="1" x14ac:dyDescent="0.3">
      <c r="A61" s="35" t="s">
        <v>178</v>
      </c>
      <c r="B61" s="36" t="s">
        <v>53</v>
      </c>
      <c r="C61" s="37"/>
      <c r="D61" s="37"/>
      <c r="E61" s="38"/>
      <c r="F61" s="39"/>
      <c r="G61" s="39"/>
      <c r="H61" s="14"/>
    </row>
    <row r="62" spans="1:10" ht="14.25" customHeight="1" x14ac:dyDescent="0.3">
      <c r="A62" s="54"/>
      <c r="B62" s="40"/>
      <c r="C62" s="41"/>
      <c r="D62" s="41"/>
      <c r="E62" s="42"/>
      <c r="F62" s="43"/>
      <c r="G62" s="43"/>
      <c r="H62" s="56"/>
    </row>
    <row r="63" spans="1:10" ht="14.25" customHeight="1" x14ac:dyDescent="0.3">
      <c r="A63" s="54" t="s">
        <v>56</v>
      </c>
      <c r="B63" s="40" t="s">
        <v>53</v>
      </c>
      <c r="C63" s="27">
        <v>45068</v>
      </c>
      <c r="D63" s="27">
        <v>45068</v>
      </c>
      <c r="E63" s="45">
        <f t="shared" ref="E63:E69" si="19">+NETWORKDAYS(C63,D63)</f>
        <v>1</v>
      </c>
      <c r="F63" s="46">
        <f t="shared" ref="F63:F69" ca="1" si="20">IF((NETWORKDAYS(C63,TODAY())/E63)&gt;1,1,IF((NETWORKDAYS(C63,TODAY())/E63)&lt;0,0,NETWORKDAYS(C63,TODAY())/E63))</f>
        <v>1</v>
      </c>
      <c r="G63" s="46">
        <v>1</v>
      </c>
      <c r="H63" s="14" t="str">
        <f t="shared" ref="H63:H69" ca="1" si="21">+IF(F63=0,"Pendiente",IF(G63=100%,"Terminado",IF(G63&gt;=F63,"En Tiempo",IF((G63/F63)&gt;=75%,IF((G63/F63)&lt;=99.9%,"R. Leve"),IF((G63/F63)&gt;=50%,IF((G63/F63)&lt;=74%,"R. Medio"),IF((G63/F63)&gt;=50%,IF((G63/F63)&gt;=49%,"R. Crítico"),IF(F63=0,"Pendiente",IF(G63=100%,"Terminado",IF(G63=F63,"En Tiempo",IF(G63&lt;F63,"R. Grave",IF(G63&gt;F63,"Adelantado","")))))))))))</f>
        <v>Terminado</v>
      </c>
    </row>
    <row r="64" spans="1:10" ht="14.25" customHeight="1" x14ac:dyDescent="0.3">
      <c r="A64" s="54" t="s">
        <v>57</v>
      </c>
      <c r="B64" s="40" t="s">
        <v>53</v>
      </c>
      <c r="C64" s="27">
        <v>45082</v>
      </c>
      <c r="D64" s="27">
        <f t="shared" ref="D64:D69" si="22">$D$82</f>
        <v>45082</v>
      </c>
      <c r="E64" s="45">
        <f t="shared" si="19"/>
        <v>1</v>
      </c>
      <c r="F64" s="46">
        <f t="shared" ca="1" si="20"/>
        <v>1</v>
      </c>
      <c r="G64" s="46">
        <v>0</v>
      </c>
      <c r="H64" s="14" t="str">
        <f t="shared" ca="1" si="21"/>
        <v>R. Grave</v>
      </c>
    </row>
    <row r="65" spans="1:10" ht="14.25" customHeight="1" x14ac:dyDescent="0.3">
      <c r="A65" s="54" t="s">
        <v>179</v>
      </c>
      <c r="B65" s="40" t="s">
        <v>53</v>
      </c>
      <c r="C65" s="27">
        <v>45075</v>
      </c>
      <c r="D65" s="27">
        <f t="shared" si="22"/>
        <v>45082</v>
      </c>
      <c r="E65" s="45">
        <f t="shared" si="19"/>
        <v>6</v>
      </c>
      <c r="F65" s="46">
        <f t="shared" ca="1" si="20"/>
        <v>1</v>
      </c>
      <c r="G65" s="46">
        <v>0</v>
      </c>
      <c r="H65" s="14" t="str">
        <f t="shared" ca="1" si="21"/>
        <v>R. Grave</v>
      </c>
    </row>
    <row r="66" spans="1:10" ht="14.25" customHeight="1" x14ac:dyDescent="0.3">
      <c r="A66" s="54" t="s">
        <v>58</v>
      </c>
      <c r="B66" s="40" t="s">
        <v>59</v>
      </c>
      <c r="C66" s="27">
        <v>45075</v>
      </c>
      <c r="D66" s="27">
        <f t="shared" si="22"/>
        <v>45082</v>
      </c>
      <c r="E66" s="45">
        <f t="shared" si="19"/>
        <v>6</v>
      </c>
      <c r="F66" s="46">
        <f t="shared" ca="1" si="20"/>
        <v>1</v>
      </c>
      <c r="G66" s="46">
        <v>0</v>
      </c>
      <c r="H66" s="14" t="str">
        <f ca="1">+IF(F66=0,"Pendiente",IF(G66=100%,"Terminado",IF(G66&gt;=F66,"En Tiempo",IF((G66/F66)&gt;=75%,IF((G66/F66)&lt;=99.9%,"R. Leve"),IF((G66/F66)&gt;=50%,IF((G66/F66)&lt;=74%,"R. Medio"),IF((G66/F66)&gt;=50%,IF((G66/F66)&gt;=49%,"R. Crítico"),IF(F66=0,"Pendiente",IF(G66=100%,"Terminado",IF(G66=F66,"En Tiempo",IF(G66&lt;F66,"R. Grave",IF(G66&gt;F66,"Adelantado","")))))))))))</f>
        <v>R. Grave</v>
      </c>
    </row>
    <row r="67" spans="1:10" ht="14.25" customHeight="1" x14ac:dyDescent="0.3">
      <c r="A67" s="54" t="s">
        <v>180</v>
      </c>
      <c r="B67" s="40" t="s">
        <v>59</v>
      </c>
      <c r="C67" s="27">
        <v>45075</v>
      </c>
      <c r="D67" s="27">
        <f t="shared" si="22"/>
        <v>45082</v>
      </c>
      <c r="E67" s="45">
        <f t="shared" si="19"/>
        <v>6</v>
      </c>
      <c r="F67" s="46">
        <f t="shared" ca="1" si="20"/>
        <v>1</v>
      </c>
      <c r="G67" s="46">
        <v>0</v>
      </c>
      <c r="H67" s="14" t="str">
        <f ca="1">+IF(F67=0,"Pendiente",IF(G67=100%,"Terminado",IF(G67&gt;=F67,"En Tiempo",IF((G67/F67)&gt;=75%,IF((G67/F67)&lt;=99.9%,"R. Leve"),IF((G67/F67)&gt;=50%,IF((G67/F67)&lt;=74%,"R. Medio"),IF((G67/F67)&gt;=50%,IF((G67/F67)&gt;=49%,"R. Crítico"),IF(F67=0,"Pendiente",IF(G67=100%,"Terminado",IF(G67=F67,"En Tiempo",IF(G67&lt;F67,"R. Grave",IF(G67&gt;F67,"Adelantado","")))))))))))</f>
        <v>R. Grave</v>
      </c>
    </row>
    <row r="68" spans="1:10" ht="14.25" customHeight="1" x14ac:dyDescent="0.3">
      <c r="A68" s="29" t="s">
        <v>181</v>
      </c>
      <c r="B68" s="40" t="s">
        <v>59</v>
      </c>
      <c r="C68" s="27">
        <v>45075</v>
      </c>
      <c r="D68" s="27">
        <f t="shared" si="22"/>
        <v>45082</v>
      </c>
      <c r="E68" s="45">
        <f t="shared" si="19"/>
        <v>6</v>
      </c>
      <c r="F68" s="46">
        <f t="shared" ca="1" si="20"/>
        <v>1</v>
      </c>
      <c r="G68" s="46">
        <v>0</v>
      </c>
      <c r="H68" s="14" t="str">
        <f ca="1">+IF(F68=0,"Pendiente",IF(G68=100%,"Terminado",IF(G68&gt;=F68,"En Tiempo",IF((G68/F68)&gt;=75%,IF((G68/F68)&lt;=99.9%,"R. Leve"),IF((G68/F68)&gt;=50%,IF((G68/F68)&lt;=74%,"R. Medio"),IF((G68/F68)&gt;=50%,IF((G68/F68)&gt;=49%,"R. Crítico"),IF(F68=0,"Pendiente",IF(G68=100%,"Terminado",IF(G68=F68,"En Tiempo",IF(G68&lt;F68,"R. Grave",IF(G68&gt;F68,"Adelantado","")))))))))))</f>
        <v>R. Grave</v>
      </c>
    </row>
    <row r="69" spans="1:10" ht="14.25" customHeight="1" x14ac:dyDescent="0.3">
      <c r="A69" s="54" t="s">
        <v>182</v>
      </c>
      <c r="B69" s="40" t="s">
        <v>183</v>
      </c>
      <c r="C69" s="27">
        <v>45075</v>
      </c>
      <c r="D69" s="27">
        <f t="shared" si="22"/>
        <v>45082</v>
      </c>
      <c r="E69" s="45">
        <f t="shared" si="19"/>
        <v>6</v>
      </c>
      <c r="F69" s="46">
        <f t="shared" ca="1" si="20"/>
        <v>1</v>
      </c>
      <c r="G69" s="46">
        <v>0</v>
      </c>
      <c r="H69" s="14" t="str">
        <f t="shared" ca="1" si="21"/>
        <v>R. Grave</v>
      </c>
    </row>
    <row r="70" spans="1:10" ht="14.25" customHeight="1" x14ac:dyDescent="0.3">
      <c r="A70" s="54"/>
      <c r="B70" s="57"/>
      <c r="C70" s="57"/>
      <c r="D70" s="57"/>
      <c r="E70" s="45"/>
      <c r="F70" s="58"/>
      <c r="G70" s="58"/>
      <c r="H70" s="56"/>
    </row>
    <row r="71" spans="1:10" ht="14.25" customHeight="1" x14ac:dyDescent="0.3">
      <c r="A71" s="35" t="s">
        <v>184</v>
      </c>
      <c r="B71" s="59" t="s">
        <v>61</v>
      </c>
      <c r="C71" s="37"/>
      <c r="D71" s="37"/>
      <c r="E71" s="38"/>
      <c r="F71" s="39"/>
      <c r="G71" s="39"/>
      <c r="H71" s="14"/>
    </row>
    <row r="72" spans="1:10" ht="14.25" customHeight="1" x14ac:dyDescent="0.3">
      <c r="A72" s="54"/>
      <c r="B72" s="57"/>
      <c r="C72" s="41"/>
      <c r="D72" s="41"/>
      <c r="E72" s="42"/>
      <c r="F72" s="43"/>
      <c r="G72" s="43"/>
      <c r="H72" s="56"/>
    </row>
    <row r="73" spans="1:10" ht="14.25" customHeight="1" x14ac:dyDescent="0.3">
      <c r="A73" s="54" t="s">
        <v>60</v>
      </c>
      <c r="B73" s="57" t="s">
        <v>61</v>
      </c>
      <c r="C73" s="27">
        <v>45075</v>
      </c>
      <c r="D73" s="27">
        <f t="shared" ref="D73:D74" si="23">$D$82</f>
        <v>45082</v>
      </c>
      <c r="E73" s="45">
        <f t="shared" ref="E73:E74" si="24">+NETWORKDAYS(C73,D73)</f>
        <v>6</v>
      </c>
      <c r="F73" s="46">
        <f t="shared" ref="F73:F74" ca="1" si="25">IF((NETWORKDAYS(C73,TODAY())/E73)&gt;1,1,IF((NETWORKDAYS(C73,TODAY())/E73)&lt;0,0,NETWORKDAYS(C73,TODAY())/E73))</f>
        <v>1</v>
      </c>
      <c r="G73" s="46">
        <v>0</v>
      </c>
      <c r="H73" s="14" t="str">
        <f ca="1">+IF(F73=0,"Pendiente",IF(G73=100%,"Terminado",IF(G73&gt;=F73,"En Tiempo",IF((G73/F73)&gt;=75%,IF((G73/F73)&lt;=99.9%,"R. Leve"),IF((G73/F73)&gt;=50%,IF((G73/F73)&lt;=74%,"R. Medio"),IF((G73/F73)&gt;=50%,IF((G73/F73)&gt;=49%,"R. Crítico"),IF(F73=0,"Pendiente",IF(G73=100%,"Terminado",IF(G73=F73,"En Tiempo",IF(G73&lt;F73,"R. Grave",IF(G73&gt;F73,"Adelantado","")))))))))))</f>
        <v>R. Grave</v>
      </c>
    </row>
    <row r="74" spans="1:10" ht="14.25" customHeight="1" x14ac:dyDescent="0.3">
      <c r="A74" s="54" t="s">
        <v>185</v>
      </c>
      <c r="B74" s="57" t="s">
        <v>61</v>
      </c>
      <c r="C74" s="27">
        <v>45075</v>
      </c>
      <c r="D74" s="27">
        <f t="shared" si="23"/>
        <v>45082</v>
      </c>
      <c r="E74" s="45">
        <f t="shared" si="24"/>
        <v>6</v>
      </c>
      <c r="F74" s="46">
        <f t="shared" ca="1" si="25"/>
        <v>1</v>
      </c>
      <c r="G74" s="46">
        <v>0</v>
      </c>
      <c r="H74" s="14" t="str">
        <f ca="1">+IF(F74=0,"Pendiente",IF(G74=100%,"Terminado",IF(G74&gt;=F74,"En Tiempo",IF((G74/F74)&gt;=75%,IF((G74/F74)&lt;=99.9%,"R. Leve"),IF((G74/F74)&gt;=50%,IF((G74/F74)&lt;=74%,"R. Medio"),IF((G74/F74)&gt;=50%,IF((G74/F74)&gt;=49%,"R. Crítico"),IF(F74=0,"Pendiente",IF(G74=100%,"Terminado",IF(G74=F74,"En Tiempo",IF(G74&lt;F74,"R. Grave",IF(G74&gt;F74,"Adelantado","")))))))))))</f>
        <v>R. Grave</v>
      </c>
    </row>
    <row r="75" spans="1:10" ht="14.25" customHeight="1" x14ac:dyDescent="0.3">
      <c r="A75" s="54"/>
      <c r="B75" s="57"/>
      <c r="C75" s="27"/>
      <c r="D75" s="27"/>
      <c r="E75" s="28"/>
      <c r="F75" s="56"/>
      <c r="G75" s="56"/>
      <c r="H75" s="56"/>
    </row>
    <row r="76" spans="1:10" ht="14.25" customHeight="1" x14ac:dyDescent="0.3">
      <c r="A76" s="35" t="s">
        <v>186</v>
      </c>
      <c r="B76" s="36" t="s">
        <v>26</v>
      </c>
      <c r="C76" s="37"/>
      <c r="D76" s="37"/>
      <c r="E76" s="38"/>
      <c r="F76" s="39"/>
      <c r="G76" s="39"/>
      <c r="H76" s="14"/>
    </row>
    <row r="77" spans="1:10" ht="14.25" customHeight="1" x14ac:dyDescent="0.3">
      <c r="A77" s="54"/>
      <c r="B77" s="57"/>
      <c r="C77" s="41"/>
      <c r="D77" s="41"/>
      <c r="E77" s="42"/>
      <c r="F77" s="43"/>
      <c r="G77" s="43"/>
      <c r="H77" s="56"/>
    </row>
    <row r="78" spans="1:10" ht="14.25" customHeight="1" x14ac:dyDescent="0.3">
      <c r="A78" s="55" t="s">
        <v>62</v>
      </c>
      <c r="B78" s="40" t="s">
        <v>63</v>
      </c>
      <c r="C78" s="27">
        <v>45068</v>
      </c>
      <c r="D78" s="27">
        <f t="shared" ref="D78:D80" si="26">$D$82</f>
        <v>45082</v>
      </c>
      <c r="E78" s="45">
        <f>+NETWORKDAYS(C78,D78)</f>
        <v>11</v>
      </c>
      <c r="F78" s="46">
        <f ca="1">IF((NETWORKDAYS(C78,TODAY())/E78)&gt;1,1,IF((NETWORKDAYS(C78,TODAY())/E78)&lt;0,0,NETWORKDAYS(C78,TODAY())/E78))</f>
        <v>1</v>
      </c>
      <c r="G78" s="46">
        <v>0.45</v>
      </c>
      <c r="H78" s="14" t="str">
        <f ca="1">+IF(F78=0,"Pendiente",IF(G78=100%,"Terminado",IF(G78&gt;=F78,"En Tiempo",IF((G78/F78)&gt;=75%,IF((G78/F78)&lt;=99.9%,"R. Leve"),IF((G78/F78)&gt;=50%,IF((G78/F78)&lt;=74%,"R. Medio"),IF((G78/F78)&gt;=50%,IF((G78/F78)&gt;=49%,"R. Crítico"),IF(F78=0,"Pendiente",IF(G78=100%,"Terminado",IF(G78=F78,"En Tiempo",IF(G78&lt;F78,"R. Grave",IF(G78&gt;F78,"Adelantado","")))))))))))</f>
        <v>R. Grave</v>
      </c>
      <c r="J78" s="1" t="s">
        <v>167</v>
      </c>
    </row>
    <row r="79" spans="1:10" ht="14.25" customHeight="1" x14ac:dyDescent="0.3">
      <c r="A79" s="54" t="s">
        <v>64</v>
      </c>
      <c r="B79" s="57" t="s">
        <v>65</v>
      </c>
      <c r="C79" s="27">
        <v>45075</v>
      </c>
      <c r="D79" s="27">
        <f t="shared" si="26"/>
        <v>45082</v>
      </c>
      <c r="E79" s="45">
        <f>+NETWORKDAYS(C79,D79)</f>
        <v>6</v>
      </c>
      <c r="F79" s="46">
        <f ca="1">IF((NETWORKDAYS(C79,TODAY())/E79)&gt;1,1,IF((NETWORKDAYS(C79,TODAY())/E79)&lt;0,0,NETWORKDAYS(C79,TODAY())/E79))</f>
        <v>1</v>
      </c>
      <c r="G79" s="46">
        <v>0</v>
      </c>
      <c r="H79" s="14" t="str">
        <f ca="1">+IF(F79=0,"Pendiente",IF(G79=100%,"Terminado",IF(G79&gt;=F79,"En Tiempo",IF((G79/F79)&gt;=75%,IF((G79/F79)&lt;=99.9%,"R. Leve"),IF((G79/F79)&gt;=50%,IF((G79/F79)&lt;=74%,"R. Medio"),IF((G79/F79)&gt;=50%,IF((G79/F79)&gt;=49%,"R. Crítico"),IF(F79=0,"Pendiente",IF(G79=100%,"Terminado",IF(G79=F79,"En Tiempo",IF(G79&lt;F79,"R. Grave",IF(G79&gt;F79,"Adelantado","")))))))))))</f>
        <v>R. Grave</v>
      </c>
    </row>
    <row r="80" spans="1:10" ht="14.25" customHeight="1" x14ac:dyDescent="0.3">
      <c r="A80" s="54" t="s">
        <v>187</v>
      </c>
      <c r="B80" s="57" t="s">
        <v>65</v>
      </c>
      <c r="C80" s="27">
        <v>45075</v>
      </c>
      <c r="D80" s="27">
        <f t="shared" si="26"/>
        <v>45082</v>
      </c>
      <c r="E80" s="45">
        <f t="shared" ref="E80:E82" si="27">+NETWORKDAYS(C80,D80)</f>
        <v>6</v>
      </c>
      <c r="F80" s="46">
        <f t="shared" ref="F80:F82" ca="1" si="28">IF((NETWORKDAYS(C80,TODAY())/E80)&gt;1,1,IF((NETWORKDAYS(C80,TODAY())/E80)&lt;0,0,NETWORKDAYS(C80,TODAY())/E80))</f>
        <v>1</v>
      </c>
      <c r="G80" s="46">
        <v>0</v>
      </c>
      <c r="H80" s="14" t="str">
        <f t="shared" ref="H80:H82" ca="1" si="29">+IF(F80=0,"Pendiente",IF(G80=100%,"Terminado",IF(G80&gt;=F80,"En Tiempo",IF((G80/F80)&gt;=75%,IF((G80/F80)&lt;=99.9%,"R. Leve"),IF((G80/F80)&gt;=50%,IF((G80/F80)&lt;=74%,"R. Medio"),IF((G80/F80)&gt;=50%,IF((G80/F80)&gt;=49%,"R. Crítico"),IF(F80=0,"Pendiente",IF(G80=100%,"Terminado",IF(G80=F80,"En Tiempo",IF(G80&lt;F80,"R. Grave",IF(G80&gt;F80,"Adelantado","")))))))))))</f>
        <v>R. Grave</v>
      </c>
    </row>
    <row r="81" spans="1:10" ht="14.25" customHeight="1" x14ac:dyDescent="0.3">
      <c r="A81" s="54" t="s">
        <v>188</v>
      </c>
      <c r="B81" s="40" t="s">
        <v>26</v>
      </c>
      <c r="C81" s="27">
        <v>45075</v>
      </c>
      <c r="D81" s="27">
        <f>$D$82</f>
        <v>45082</v>
      </c>
      <c r="E81" s="45">
        <f t="shared" si="27"/>
        <v>6</v>
      </c>
      <c r="F81" s="46">
        <f t="shared" ca="1" si="28"/>
        <v>1</v>
      </c>
      <c r="G81" s="46">
        <v>0</v>
      </c>
      <c r="H81" s="14" t="str">
        <f t="shared" ca="1" si="29"/>
        <v>R. Grave</v>
      </c>
    </row>
    <row r="82" spans="1:10" ht="14.25" customHeight="1" x14ac:dyDescent="0.3">
      <c r="A82" s="54" t="s">
        <v>189</v>
      </c>
      <c r="B82" s="40" t="s">
        <v>26</v>
      </c>
      <c r="C82" s="27">
        <v>45075</v>
      </c>
      <c r="D82" s="27">
        <f>C88</f>
        <v>45082</v>
      </c>
      <c r="E82" s="45">
        <f t="shared" si="27"/>
        <v>6</v>
      </c>
      <c r="F82" s="46">
        <f t="shared" ca="1" si="28"/>
        <v>1</v>
      </c>
      <c r="G82" s="46">
        <v>0</v>
      </c>
      <c r="H82" s="14" t="str">
        <f t="shared" ca="1" si="29"/>
        <v>R. Grave</v>
      </c>
    </row>
    <row r="83" spans="1:10" ht="14.25" customHeight="1" x14ac:dyDescent="0.3">
      <c r="A83" s="54"/>
      <c r="B83" s="57"/>
      <c r="C83" s="27"/>
      <c r="D83" s="27"/>
      <c r="E83" s="28"/>
      <c r="F83" s="56"/>
      <c r="G83" s="56"/>
      <c r="H83" s="56"/>
    </row>
    <row r="84" spans="1:10" ht="23.4" x14ac:dyDescent="0.3">
      <c r="A84" s="32" t="s">
        <v>66</v>
      </c>
      <c r="B84" s="34" t="s">
        <v>11</v>
      </c>
      <c r="C84" s="34">
        <f>MIN(C86:C99)</f>
        <v>45054</v>
      </c>
      <c r="D84" s="34">
        <f>MAX(D86:D99)</f>
        <v>45110</v>
      </c>
      <c r="E84" s="71">
        <f>NETWORKDAYS(C84,D84)</f>
        <v>41</v>
      </c>
      <c r="F84" s="72">
        <f ca="1">IF((NETWORKDAYS(C84,TODAY())/E84)&gt;1,1,IF((NETWORKDAYS(C84,TODAY())/E84)&lt;0,0,NETWORKDAYS(C84,TODAY())/E84))</f>
        <v>1</v>
      </c>
      <c r="G84" s="72">
        <f ca="1">IFERROR(F84*(G85/F85),0)</f>
        <v>0.31313333333333332</v>
      </c>
      <c r="H84" s="73"/>
    </row>
    <row r="85" spans="1:10" ht="15.6" customHeight="1" x14ac:dyDescent="0.3">
      <c r="A85" s="32"/>
      <c r="B85" s="34"/>
      <c r="C85" s="34"/>
      <c r="D85" s="34"/>
      <c r="E85" s="75"/>
      <c r="F85" s="74">
        <f ca="1">AVERAGE(F87:F99)</f>
        <v>1</v>
      </c>
      <c r="G85" s="74">
        <f>AVERAGE(G87:G99)</f>
        <v>0.31313333333333332</v>
      </c>
      <c r="H85" s="73"/>
    </row>
    <row r="86" spans="1:10" ht="13.95" customHeight="1" x14ac:dyDescent="0.3">
      <c r="A86" s="54"/>
      <c r="B86" s="57"/>
      <c r="C86" s="41"/>
      <c r="D86" s="41"/>
      <c r="E86" s="42"/>
      <c r="F86" s="43"/>
      <c r="G86" s="43"/>
      <c r="H86" s="56"/>
    </row>
    <row r="87" spans="1:10" ht="13.95" customHeight="1" x14ac:dyDescent="0.3">
      <c r="A87" s="35" t="s">
        <v>32</v>
      </c>
      <c r="B87" s="57"/>
      <c r="C87" s="41"/>
      <c r="D87" s="41"/>
      <c r="E87" s="42"/>
      <c r="F87" s="43"/>
      <c r="G87" s="43"/>
      <c r="H87" s="78"/>
    </row>
    <row r="88" spans="1:10" ht="14.25" customHeight="1" x14ac:dyDescent="0.3">
      <c r="A88" s="29" t="s">
        <v>190</v>
      </c>
      <c r="B88" s="57" t="s">
        <v>11</v>
      </c>
      <c r="C88" s="27">
        <f>D88-14</f>
        <v>45082</v>
      </c>
      <c r="D88" s="27">
        <f>C89</f>
        <v>45096</v>
      </c>
      <c r="E88" s="45">
        <f>+NETWORKDAYS(C88,D88)</f>
        <v>11</v>
      </c>
      <c r="F88" s="46">
        <f ca="1">IF((NETWORKDAYS(C88,TODAY())/E88)&gt;1,1,IF((NETWORKDAYS(C88,TODAY())/E88)&lt;0,0,NETWORKDAYS(C88,TODAY())/E88))</f>
        <v>1</v>
      </c>
      <c r="G88" s="46">
        <v>0</v>
      </c>
      <c r="H88" s="14" t="str">
        <f ca="1">+IF(F88=0,"Pendiente",IF(G88=100%,"Terminado",IF(G88&gt;=F88,"En Tiempo",IF((G88/F88)&gt;=75%,IF((G88/F88)&lt;=99.9%,"R. Leve"),IF((G88/F88)&gt;=50%,IF((G88/F88)&lt;=74%,"R. Medio"),IF((G88/F88)&gt;=50%,IF((G88/F88)&gt;=49%,"R. Crítico"),IF(F88=0,"Pendiente",IF(G88=100%,"Terminado",IF(G88=F88,"En Tiempo",IF(G88&lt;F88,"R. Grave",IF(G88&gt;F88,"Adelantado","")))))))))))</f>
        <v>R. Grave</v>
      </c>
    </row>
    <row r="89" spans="1:10" ht="14.25" customHeight="1" x14ac:dyDescent="0.3">
      <c r="A89" s="29" t="s">
        <v>67</v>
      </c>
      <c r="B89" s="57" t="s">
        <v>11</v>
      </c>
      <c r="C89" s="27">
        <f>D89-7</f>
        <v>45096</v>
      </c>
      <c r="D89" s="27">
        <f>C90</f>
        <v>45103</v>
      </c>
      <c r="E89" s="45">
        <f t="shared" ref="E89:E94" si="30">+NETWORKDAYS(C89,D89)</f>
        <v>6</v>
      </c>
      <c r="F89" s="46">
        <f t="shared" ref="F89:F94" ca="1" si="31">IF((NETWORKDAYS(C89,TODAY())/E89)&gt;1,1,IF((NETWORKDAYS(C89,TODAY())/E89)&lt;0,0,NETWORKDAYS(C89,TODAY())/E89))</f>
        <v>1</v>
      </c>
      <c r="G89" s="46">
        <v>0</v>
      </c>
      <c r="H89" s="14" t="str">
        <f t="shared" ref="H89:H94" ca="1" si="32">+IF(F89=0,"Pendiente",IF(G89=100%,"Terminado",IF(G89&gt;=F89,"En Tiempo",IF((G89/F89)&gt;=75%,IF((G89/F89)&lt;=99.9%,"R. Leve"),IF((G89/F89)&gt;=50%,IF((G89/F89)&lt;=74%,"R. Medio"),IF((G89/F89)&gt;=50%,IF((G89/F89)&gt;=49%,"R. Crítico"),IF(F89=0,"Pendiente",IF(G89=100%,"Terminado",IF(G89=F89,"En Tiempo",IF(G89&lt;F89,"R. Grave",IF(G89&gt;F89,"Adelantado","")))))))))))</f>
        <v>R. Grave</v>
      </c>
    </row>
    <row r="90" spans="1:10" ht="14.25" customHeight="1" x14ac:dyDescent="0.3">
      <c r="A90" s="29" t="s">
        <v>191</v>
      </c>
      <c r="B90" s="57" t="s">
        <v>11</v>
      </c>
      <c r="C90" s="27">
        <f>D90-7</f>
        <v>45103</v>
      </c>
      <c r="D90" s="27">
        <f>C104</f>
        <v>45110</v>
      </c>
      <c r="E90" s="45">
        <f t="shared" si="30"/>
        <v>6</v>
      </c>
      <c r="F90" s="46">
        <f t="shared" ca="1" si="31"/>
        <v>1</v>
      </c>
      <c r="G90" s="46">
        <v>0</v>
      </c>
      <c r="H90" s="14" t="str">
        <f t="shared" ca="1" si="32"/>
        <v>R. Grave</v>
      </c>
    </row>
    <row r="91" spans="1:10" ht="14.25" customHeight="1" x14ac:dyDescent="0.3">
      <c r="A91" s="35" t="s">
        <v>47</v>
      </c>
      <c r="B91" s="57"/>
      <c r="C91" s="27"/>
      <c r="D91" s="27"/>
      <c r="E91" s="27"/>
      <c r="F91" s="27"/>
      <c r="G91" s="27"/>
      <c r="H91" s="27"/>
    </row>
    <row r="92" spans="1:10" ht="14.25" customHeight="1" x14ac:dyDescent="0.3">
      <c r="A92" s="29" t="s">
        <v>190</v>
      </c>
      <c r="B92" s="57" t="s">
        <v>11</v>
      </c>
      <c r="C92" s="27">
        <f>C88-28</f>
        <v>45054</v>
      </c>
      <c r="D92" s="27">
        <f>C92+14</f>
        <v>45068</v>
      </c>
      <c r="E92" s="45">
        <f t="shared" si="30"/>
        <v>11</v>
      </c>
      <c r="F92" s="46">
        <f t="shared" ca="1" si="31"/>
        <v>1</v>
      </c>
      <c r="G92" s="46">
        <v>0.90910000000000002</v>
      </c>
      <c r="H92" s="14" t="str">
        <f t="shared" ca="1" si="32"/>
        <v>R. Leve</v>
      </c>
      <c r="J92" s="1" t="s">
        <v>192</v>
      </c>
    </row>
    <row r="93" spans="1:10" ht="14.25" customHeight="1" x14ac:dyDescent="0.3">
      <c r="A93" s="29" t="s">
        <v>67</v>
      </c>
      <c r="B93" s="57" t="s">
        <v>11</v>
      </c>
      <c r="C93" s="27">
        <f>D92</f>
        <v>45068</v>
      </c>
      <c r="D93" s="27">
        <f>C93+7</f>
        <v>45075</v>
      </c>
      <c r="E93" s="45">
        <f t="shared" si="30"/>
        <v>6</v>
      </c>
      <c r="F93" s="46">
        <f t="shared" ca="1" si="31"/>
        <v>1</v>
      </c>
      <c r="G93" s="46">
        <v>0.5</v>
      </c>
      <c r="H93" s="14" t="str">
        <f t="shared" ca="1" si="32"/>
        <v>R. Medio</v>
      </c>
      <c r="J93" s="1" t="s">
        <v>193</v>
      </c>
    </row>
    <row r="94" spans="1:10" ht="14.25" customHeight="1" x14ac:dyDescent="0.3">
      <c r="A94" s="29" t="s">
        <v>191</v>
      </c>
      <c r="B94" s="57" t="s">
        <v>11</v>
      </c>
      <c r="C94" s="27">
        <f>D93</f>
        <v>45075</v>
      </c>
      <c r="D94" s="27">
        <f>C94</f>
        <v>45075</v>
      </c>
      <c r="E94" s="45">
        <f t="shared" si="30"/>
        <v>1</v>
      </c>
      <c r="F94" s="46">
        <f t="shared" ca="1" si="31"/>
        <v>1</v>
      </c>
      <c r="G94" s="46">
        <v>0</v>
      </c>
      <c r="H94" s="14" t="str">
        <f t="shared" ca="1" si="32"/>
        <v>R. Grave</v>
      </c>
    </row>
    <row r="95" spans="1:10" ht="14.25" customHeight="1" x14ac:dyDescent="0.3">
      <c r="A95" s="35" t="s">
        <v>51</v>
      </c>
      <c r="B95" s="57"/>
      <c r="C95" s="27"/>
      <c r="D95" s="27"/>
      <c r="E95" s="27"/>
      <c r="F95" s="27"/>
      <c r="G95" s="27"/>
      <c r="H95" s="27"/>
    </row>
    <row r="96" spans="1:10" ht="14.25" customHeight="1" x14ac:dyDescent="0.3">
      <c r="A96" s="29" t="s">
        <v>190</v>
      </c>
      <c r="B96" s="57" t="s">
        <v>11</v>
      </c>
      <c r="C96" s="27">
        <f>C92</f>
        <v>45054</v>
      </c>
      <c r="D96" s="27">
        <f>C96+14</f>
        <v>45068</v>
      </c>
      <c r="E96" s="45">
        <f t="shared" ref="E96:E98" si="33">+NETWORKDAYS(C96,D96)</f>
        <v>11</v>
      </c>
      <c r="F96" s="46">
        <f t="shared" ref="F96:F98" ca="1" si="34">IF((NETWORKDAYS(C96,TODAY())/E96)&gt;1,1,IF((NETWORKDAYS(C96,TODAY())/E96)&lt;0,0,NETWORKDAYS(C96,TODAY())/E96))</f>
        <v>1</v>
      </c>
      <c r="G96" s="46">
        <v>0.90910000000000002</v>
      </c>
      <c r="H96" s="14" t="str">
        <f t="shared" ref="H96:H98" ca="1" si="35">+IF(F96=0,"Pendiente",IF(G96=100%,"Terminado",IF(G96&gt;=F96,"En Tiempo",IF((G96/F96)&gt;=75%,IF((G96/F96)&lt;=99.9%,"R. Leve"),IF((G96/F96)&gt;=50%,IF((G96/F96)&lt;=74%,"R. Medio"),IF((G96/F96)&gt;=50%,IF((G96/F96)&gt;=49%,"R. Crítico"),IF(F96=0,"Pendiente",IF(G96=100%,"Terminado",IF(G96=F96,"En Tiempo",IF(G96&lt;F96,"R. Grave",IF(G96&gt;F96,"Adelantado","")))))))))))</f>
        <v>R. Leve</v>
      </c>
      <c r="J96" s="1" t="s">
        <v>192</v>
      </c>
    </row>
    <row r="97" spans="1:10" ht="14.25" customHeight="1" x14ac:dyDescent="0.3">
      <c r="A97" s="29" t="s">
        <v>67</v>
      </c>
      <c r="B97" s="57" t="s">
        <v>11</v>
      </c>
      <c r="C97" s="27">
        <f>D96</f>
        <v>45068</v>
      </c>
      <c r="D97" s="27">
        <f>C97+7</f>
        <v>45075</v>
      </c>
      <c r="E97" s="45">
        <f t="shared" si="33"/>
        <v>6</v>
      </c>
      <c r="F97" s="46">
        <f t="shared" ca="1" si="34"/>
        <v>1</v>
      </c>
      <c r="G97" s="46">
        <v>0.5</v>
      </c>
      <c r="H97" s="14" t="str">
        <f t="shared" ca="1" si="35"/>
        <v>R. Medio</v>
      </c>
      <c r="J97" s="1" t="s">
        <v>193</v>
      </c>
    </row>
    <row r="98" spans="1:10" ht="14.25" customHeight="1" x14ac:dyDescent="0.3">
      <c r="A98" s="29" t="s">
        <v>191</v>
      </c>
      <c r="B98" s="57" t="s">
        <v>11</v>
      </c>
      <c r="C98" s="27">
        <f>D97</f>
        <v>45075</v>
      </c>
      <c r="D98" s="27">
        <f>C98</f>
        <v>45075</v>
      </c>
      <c r="E98" s="45">
        <f t="shared" si="33"/>
        <v>1</v>
      </c>
      <c r="F98" s="46">
        <f t="shared" ca="1" si="34"/>
        <v>1</v>
      </c>
      <c r="G98" s="46">
        <v>0</v>
      </c>
      <c r="H98" s="14" t="str">
        <f t="shared" ca="1" si="35"/>
        <v>R. Grave</v>
      </c>
    </row>
    <row r="99" spans="1:10" ht="14.25" customHeight="1" x14ac:dyDescent="0.3">
      <c r="A99" s="54"/>
      <c r="B99" s="57"/>
      <c r="C99" s="27"/>
      <c r="D99" s="27"/>
      <c r="E99" s="45"/>
      <c r="F99" s="58"/>
      <c r="G99" s="58"/>
      <c r="H99" s="56"/>
    </row>
    <row r="100" spans="1:10" ht="23.4" x14ac:dyDescent="0.3">
      <c r="A100" s="32" t="s">
        <v>68</v>
      </c>
      <c r="B100" s="34" t="s">
        <v>4</v>
      </c>
      <c r="C100" s="34">
        <f>MIN(C102:C136)</f>
        <v>45061</v>
      </c>
      <c r="D100" s="34">
        <f>MAX(D102:D136)</f>
        <v>45173</v>
      </c>
      <c r="E100" s="71">
        <f>NETWORKDAYS(C100,D100)</f>
        <v>81</v>
      </c>
      <c r="F100" s="72">
        <f ca="1">IF((NETWORKDAYS(C100,TODAY())/E100)&gt;1,1,IF((NETWORKDAYS(C100,TODAY())/E100)&lt;0,0,NETWORKDAYS(C100,TODAY())/E100))</f>
        <v>1</v>
      </c>
      <c r="G100" s="72">
        <f ca="1">IFERROR(F100*(G101/F101),0)</f>
        <v>0.10526315789473684</v>
      </c>
      <c r="H100" s="73"/>
    </row>
    <row r="101" spans="1:10" ht="14.4" customHeight="1" x14ac:dyDescent="0.3">
      <c r="A101" s="32"/>
      <c r="B101" s="34"/>
      <c r="C101" s="34"/>
      <c r="D101" s="34"/>
      <c r="E101" s="75"/>
      <c r="F101" s="74">
        <f ca="1">AVERAGE(F103:F136)</f>
        <v>1</v>
      </c>
      <c r="G101" s="74">
        <f>AVERAGE(G103:G136)</f>
        <v>0.10526315789473684</v>
      </c>
      <c r="H101" s="73"/>
    </row>
    <row r="102" spans="1:10" ht="13.95" customHeight="1" x14ac:dyDescent="0.3">
      <c r="A102" s="54"/>
      <c r="B102" s="57"/>
      <c r="C102" s="41"/>
      <c r="D102" s="41"/>
      <c r="E102" s="42"/>
      <c r="F102" s="43"/>
      <c r="G102" s="43"/>
      <c r="H102" s="56"/>
    </row>
    <row r="103" spans="1:10" ht="13.95" customHeight="1" x14ac:dyDescent="0.3">
      <c r="A103" s="35" t="s">
        <v>32</v>
      </c>
      <c r="B103" s="57"/>
      <c r="C103" s="41"/>
      <c r="D103" s="41"/>
      <c r="E103" s="42"/>
      <c r="F103" s="43"/>
      <c r="G103" s="43"/>
      <c r="H103" s="56"/>
    </row>
    <row r="104" spans="1:10" ht="13.95" customHeight="1" x14ac:dyDescent="0.3">
      <c r="A104" s="29" t="s">
        <v>194</v>
      </c>
      <c r="B104" s="57" t="s">
        <v>4</v>
      </c>
      <c r="C104" s="27">
        <f>D104-14</f>
        <v>45110</v>
      </c>
      <c r="D104" s="27">
        <f>C108</f>
        <v>45124</v>
      </c>
      <c r="E104" s="45">
        <f t="shared" ref="E104" si="36">+NETWORKDAYS(C104,D104)</f>
        <v>11</v>
      </c>
      <c r="F104" s="46">
        <f t="shared" ref="F104" ca="1" si="37">IF((NETWORKDAYS(C104,TODAY())/E104)&gt;1,1,IF((NETWORKDAYS(C104,TODAY())/E104)&lt;0,0,NETWORKDAYS(C104,TODAY())/E104))</f>
        <v>1</v>
      </c>
      <c r="G104" s="46">
        <v>0</v>
      </c>
      <c r="H104" s="14" t="str">
        <f t="shared" ref="H104" ca="1" si="38">+IF(F104=0,"Pendiente",IF(G104=100%,"Terminado",IF(G104&gt;=F104,"En Tiempo",IF((G104/F104)&gt;=75%,IF((G104/F104)&lt;=99.9%,"R. Leve"),IF((G104/F104)&gt;=50%,IF((G104/F104)&lt;=74%,"R. Medio"),IF((G104/F104)&gt;=50%,IF((G104/F104)&gt;=49%,"R. Crítico"),IF(F104=0,"Pendiente",IF(G104=100%,"Terminado",IF(G104=F104,"En Tiempo",IF(G104&lt;F104,"R. Grave",IF(G104&gt;F104,"Adelantado","")))))))))))</f>
        <v>R. Grave</v>
      </c>
    </row>
    <row r="105" spans="1:10" ht="13.95" customHeight="1" x14ac:dyDescent="0.3">
      <c r="A105" s="79" t="s">
        <v>69</v>
      </c>
      <c r="B105" s="80" t="s">
        <v>4</v>
      </c>
      <c r="C105" s="27"/>
      <c r="D105" s="27"/>
      <c r="E105" s="45"/>
      <c r="F105" s="43"/>
      <c r="G105" s="43"/>
      <c r="H105" s="56"/>
    </row>
    <row r="106" spans="1:10" ht="13.95" customHeight="1" x14ac:dyDescent="0.3">
      <c r="A106" s="79" t="s">
        <v>70</v>
      </c>
      <c r="B106" s="80" t="s">
        <v>4</v>
      </c>
      <c r="C106" s="27"/>
      <c r="D106" s="27"/>
      <c r="E106" s="45"/>
      <c r="F106" s="43"/>
      <c r="G106" s="43"/>
      <c r="H106" s="56"/>
    </row>
    <row r="107" spans="1:10" ht="13.95" customHeight="1" x14ac:dyDescent="0.3">
      <c r="A107" s="79" t="s">
        <v>71</v>
      </c>
      <c r="B107" s="80" t="s">
        <v>4</v>
      </c>
      <c r="C107" s="27"/>
      <c r="D107" s="27"/>
      <c r="E107" s="45"/>
      <c r="F107" s="43"/>
      <c r="G107" s="43"/>
      <c r="H107" s="56"/>
    </row>
    <row r="108" spans="1:10" ht="13.95" customHeight="1" x14ac:dyDescent="0.3">
      <c r="A108" s="29" t="s">
        <v>195</v>
      </c>
      <c r="B108" s="57" t="s">
        <v>4</v>
      </c>
      <c r="C108" s="27">
        <f>D108</f>
        <v>45124</v>
      </c>
      <c r="D108" s="27">
        <f>C109</f>
        <v>45124</v>
      </c>
      <c r="E108" s="45">
        <f t="shared" ref="E108:E113" si="39">+NETWORKDAYS(C108,D108)</f>
        <v>1</v>
      </c>
      <c r="F108" s="46">
        <f t="shared" ref="F108:F113" ca="1" si="40">IF((NETWORKDAYS(C108,TODAY())/E108)&gt;1,1,IF((NETWORKDAYS(C108,TODAY())/E108)&lt;0,0,NETWORKDAYS(C108,TODAY())/E108))</f>
        <v>1</v>
      </c>
      <c r="G108" s="46">
        <v>0</v>
      </c>
      <c r="H108" s="14" t="str">
        <f t="shared" ref="H108:H113" ca="1" si="41">+IF(F108=0,"Pendiente",IF(G108=100%,"Terminado",IF(G108&gt;=F108,"En Tiempo",IF((G108/F108)&gt;=75%,IF((G108/F108)&lt;=99.9%,"R. Leve"),IF((G108/F108)&gt;=50%,IF((G108/F108)&lt;=74%,"R. Medio"),IF((G108/F108)&gt;=50%,IF((G108/F108)&gt;=49%,"R. Crítico"),IF(F108=0,"Pendiente",IF(G108=100%,"Terminado",IF(G108=F108,"En Tiempo",IF(G108&lt;F108,"R. Grave",IF(G108&gt;F108,"Adelantado","")))))))))))</f>
        <v>R. Grave</v>
      </c>
    </row>
    <row r="109" spans="1:10" ht="13.95" customHeight="1" x14ac:dyDescent="0.3">
      <c r="A109" s="29" t="s">
        <v>168</v>
      </c>
      <c r="B109" s="57" t="s">
        <v>26</v>
      </c>
      <c r="C109" s="27">
        <f>D109-7</f>
        <v>45124</v>
      </c>
      <c r="D109" s="27">
        <f>C110</f>
        <v>45131</v>
      </c>
      <c r="E109" s="45">
        <f t="shared" si="39"/>
        <v>6</v>
      </c>
      <c r="F109" s="46">
        <f t="shared" ca="1" si="40"/>
        <v>1</v>
      </c>
      <c r="G109" s="46">
        <v>0</v>
      </c>
      <c r="H109" s="14" t="str">
        <f t="shared" ca="1" si="41"/>
        <v>R. Grave</v>
      </c>
    </row>
    <row r="110" spans="1:10" ht="13.95" customHeight="1" x14ac:dyDescent="0.3">
      <c r="A110" s="29" t="s">
        <v>196</v>
      </c>
      <c r="B110" s="57" t="s">
        <v>4</v>
      </c>
      <c r="C110" s="27">
        <f>D110-28</f>
        <v>45131</v>
      </c>
      <c r="D110" s="27">
        <f>C113-14</f>
        <v>45159</v>
      </c>
      <c r="E110" s="45">
        <f t="shared" si="39"/>
        <v>21</v>
      </c>
      <c r="F110" s="46">
        <f t="shared" ca="1" si="40"/>
        <v>1</v>
      </c>
      <c r="G110" s="46">
        <v>0</v>
      </c>
      <c r="H110" s="14" t="str">
        <f t="shared" ca="1" si="41"/>
        <v>R. Grave</v>
      </c>
    </row>
    <row r="111" spans="1:10" ht="14.25" customHeight="1" x14ac:dyDescent="0.3">
      <c r="A111" s="54" t="s">
        <v>169</v>
      </c>
      <c r="B111" s="57" t="s">
        <v>4</v>
      </c>
      <c r="C111" s="27">
        <f>D111-7</f>
        <v>45166</v>
      </c>
      <c r="D111" s="27">
        <f>C112</f>
        <v>45173</v>
      </c>
      <c r="E111" s="45">
        <f t="shared" si="39"/>
        <v>6</v>
      </c>
      <c r="F111" s="46">
        <f t="shared" ca="1" si="40"/>
        <v>1</v>
      </c>
      <c r="G111" s="46">
        <v>0</v>
      </c>
      <c r="H111" s="14" t="str">
        <f t="shared" ca="1" si="41"/>
        <v>R. Grave</v>
      </c>
    </row>
    <row r="112" spans="1:10" ht="14.25" customHeight="1" x14ac:dyDescent="0.3">
      <c r="A112" s="29" t="s">
        <v>197</v>
      </c>
      <c r="B112" s="57" t="s">
        <v>26</v>
      </c>
      <c r="C112" s="27">
        <f>C113</f>
        <v>45173</v>
      </c>
      <c r="D112" s="27">
        <f>D113</f>
        <v>45173</v>
      </c>
      <c r="E112" s="45">
        <f t="shared" si="39"/>
        <v>1</v>
      </c>
      <c r="F112" s="46">
        <f t="shared" ca="1" si="40"/>
        <v>1</v>
      </c>
      <c r="G112" s="46">
        <v>0</v>
      </c>
      <c r="H112" s="14" t="str">
        <f t="shared" ca="1" si="41"/>
        <v>R. Grave</v>
      </c>
    </row>
    <row r="113" spans="1:10" ht="13.95" customHeight="1" x14ac:dyDescent="0.3">
      <c r="A113" s="54" t="s">
        <v>73</v>
      </c>
      <c r="B113" s="57" t="s">
        <v>26</v>
      </c>
      <c r="C113" s="27">
        <f>D113</f>
        <v>45173</v>
      </c>
      <c r="D113" s="27">
        <f>C142</f>
        <v>45173</v>
      </c>
      <c r="E113" s="45">
        <f t="shared" si="39"/>
        <v>1</v>
      </c>
      <c r="F113" s="46">
        <f t="shared" ca="1" si="40"/>
        <v>1</v>
      </c>
      <c r="G113" s="46">
        <v>0</v>
      </c>
      <c r="H113" s="14" t="str">
        <f t="shared" ca="1" si="41"/>
        <v>R. Grave</v>
      </c>
    </row>
    <row r="114" spans="1:10" ht="13.95" customHeight="1" x14ac:dyDescent="0.3">
      <c r="A114" s="54"/>
      <c r="B114" s="57"/>
      <c r="C114" s="27"/>
      <c r="D114" s="27"/>
      <c r="E114" s="45"/>
      <c r="F114" s="43"/>
      <c r="G114" s="43"/>
      <c r="H114" s="56"/>
    </row>
    <row r="115" spans="1:10" ht="13.95" customHeight="1" x14ac:dyDescent="0.3">
      <c r="A115" s="35" t="s">
        <v>47</v>
      </c>
      <c r="B115" s="57"/>
      <c r="C115" s="41"/>
      <c r="D115" s="41"/>
      <c r="E115" s="42"/>
      <c r="F115" s="43"/>
      <c r="G115" s="43"/>
      <c r="H115" s="56"/>
    </row>
    <row r="116" spans="1:10" ht="13.95" customHeight="1" x14ac:dyDescent="0.3">
      <c r="A116" s="29" t="s">
        <v>72</v>
      </c>
      <c r="B116" s="57" t="s">
        <v>4</v>
      </c>
      <c r="C116" s="27">
        <v>45061</v>
      </c>
      <c r="D116" s="27">
        <f>C116+14</f>
        <v>45075</v>
      </c>
      <c r="E116" s="45">
        <f t="shared" ref="E116" si="42">+NETWORKDAYS(C116,D116)</f>
        <v>11</v>
      </c>
      <c r="F116" s="46">
        <f t="shared" ref="F116" ca="1" si="43">IF((NETWORKDAYS(C116,TODAY())/E116)&gt;1,1,IF((NETWORKDAYS(C116,TODAY())/E116)&lt;0,0,NETWORKDAYS(C116,TODAY())/E116))</f>
        <v>1</v>
      </c>
      <c r="G116" s="46">
        <v>1</v>
      </c>
      <c r="H116" s="14" t="str">
        <f t="shared" ref="H116" ca="1" si="44">+IF(F116=0,"Pendiente",IF(G116=100%,"Terminado",IF(G116&gt;=F116,"En Tiempo",IF((G116/F116)&gt;=75%,IF((G116/F116)&lt;=99.9%,"R. Leve"),IF((G116/F116)&gt;=50%,IF((G116/F116)&lt;=74%,"R. Medio"),IF((G116/F116)&gt;=50%,IF((G116/F116)&gt;=49%,"R. Crítico"),IF(F116=0,"Pendiente",IF(G116=100%,"Terminado",IF(G116=F116,"En Tiempo",IF(G116&lt;F116,"R. Grave",IF(G116&gt;F116,"Adelantado","")))))))))))</f>
        <v>Terminado</v>
      </c>
      <c r="J116" s="1" t="s">
        <v>198</v>
      </c>
    </row>
    <row r="117" spans="1:10" ht="13.95" customHeight="1" x14ac:dyDescent="0.3">
      <c r="A117" s="79" t="s">
        <v>69</v>
      </c>
      <c r="B117" s="80" t="s">
        <v>4</v>
      </c>
      <c r="C117" s="27"/>
      <c r="D117" s="27"/>
      <c r="E117" s="45"/>
      <c r="F117" s="46"/>
      <c r="G117" s="46"/>
      <c r="H117" s="46"/>
    </row>
    <row r="118" spans="1:10" ht="13.95" customHeight="1" x14ac:dyDescent="0.3">
      <c r="A118" s="79" t="s">
        <v>70</v>
      </c>
      <c r="B118" s="80" t="s">
        <v>4</v>
      </c>
      <c r="C118" s="27"/>
      <c r="D118" s="27"/>
      <c r="E118" s="45"/>
      <c r="F118" s="46"/>
      <c r="G118" s="46"/>
      <c r="H118" s="46"/>
    </row>
    <row r="119" spans="1:10" ht="13.95" customHeight="1" x14ac:dyDescent="0.3">
      <c r="A119" s="79" t="s">
        <v>71</v>
      </c>
      <c r="B119" s="80" t="s">
        <v>4</v>
      </c>
      <c r="C119" s="27"/>
      <c r="D119" s="27"/>
      <c r="E119" s="45"/>
      <c r="F119" s="46"/>
      <c r="G119" s="46"/>
      <c r="H119" s="46"/>
    </row>
    <row r="120" spans="1:10" ht="13.95" customHeight="1" x14ac:dyDescent="0.3">
      <c r="A120" s="29" t="s">
        <v>168</v>
      </c>
      <c r="B120" s="57" t="s">
        <v>26</v>
      </c>
      <c r="C120" s="27">
        <f>D116</f>
        <v>45075</v>
      </c>
      <c r="D120" s="27">
        <f>C120+7</f>
        <v>45082</v>
      </c>
      <c r="E120" s="45">
        <f t="shared" ref="E120:E124" si="45">+NETWORKDAYS(C120,D120)</f>
        <v>6</v>
      </c>
      <c r="F120" s="46">
        <f t="shared" ref="F120:F124" ca="1" si="46">IF((NETWORKDAYS(C120,TODAY())/E120)&gt;1,1,IF((NETWORKDAYS(C120,TODAY())/E120)&lt;0,0,NETWORKDAYS(C120,TODAY())/E120))</f>
        <v>1</v>
      </c>
      <c r="G120" s="46">
        <v>0</v>
      </c>
      <c r="H120" s="14" t="str">
        <f t="shared" ref="H120:H124" ca="1" si="47">+IF(F120=0,"Pendiente",IF(G120=100%,"Terminado",IF(G120&gt;=F120,"En Tiempo",IF((G120/F120)&gt;=75%,IF((G120/F120)&lt;=99.9%,"R. Leve"),IF((G120/F120)&gt;=50%,IF((G120/F120)&lt;=74%,"R. Medio"),IF((G120/F120)&gt;=50%,IF((G120/F120)&gt;=49%,"R. Crítico"),IF(F120=0,"Pendiente",IF(G120=100%,"Terminado",IF(G120=F120,"En Tiempo",IF(G120&lt;F120,"R. Grave",IF(G120&gt;F120,"Adelantado","")))))))))))</f>
        <v>R. Grave</v>
      </c>
    </row>
    <row r="121" spans="1:10" ht="14.25" customHeight="1" x14ac:dyDescent="0.3">
      <c r="A121" s="29" t="s">
        <v>199</v>
      </c>
      <c r="B121" s="57" t="s">
        <v>4</v>
      </c>
      <c r="C121" s="27">
        <f>D116</f>
        <v>45075</v>
      </c>
      <c r="D121" s="27">
        <f>C121+14</f>
        <v>45089</v>
      </c>
      <c r="E121" s="45">
        <f t="shared" si="45"/>
        <v>11</v>
      </c>
      <c r="F121" s="46">
        <f t="shared" ca="1" si="46"/>
        <v>1</v>
      </c>
      <c r="G121" s="46">
        <v>0</v>
      </c>
      <c r="H121" s="14" t="str">
        <f t="shared" ca="1" si="47"/>
        <v>R. Grave</v>
      </c>
    </row>
    <row r="122" spans="1:10" ht="14.25" customHeight="1" x14ac:dyDescent="0.3">
      <c r="A122" s="54" t="s">
        <v>169</v>
      </c>
      <c r="B122" s="57" t="s">
        <v>4</v>
      </c>
      <c r="C122" s="27">
        <f>D121-7</f>
        <v>45082</v>
      </c>
      <c r="D122" s="27">
        <f>C122+7</f>
        <v>45089</v>
      </c>
      <c r="E122" s="45">
        <f t="shared" si="45"/>
        <v>6</v>
      </c>
      <c r="F122" s="46">
        <f t="shared" ca="1" si="46"/>
        <v>1</v>
      </c>
      <c r="G122" s="46">
        <v>0</v>
      </c>
      <c r="H122" s="14" t="str">
        <f t="shared" ca="1" si="47"/>
        <v>R. Grave</v>
      </c>
    </row>
    <row r="123" spans="1:10" ht="14.25" customHeight="1" x14ac:dyDescent="0.3">
      <c r="A123" s="29" t="s">
        <v>197</v>
      </c>
      <c r="B123" s="57" t="s">
        <v>26</v>
      </c>
      <c r="C123" s="27">
        <f>D122</f>
        <v>45089</v>
      </c>
      <c r="D123" s="27">
        <f>C123</f>
        <v>45089</v>
      </c>
      <c r="E123" s="45">
        <f t="shared" si="45"/>
        <v>1</v>
      </c>
      <c r="F123" s="46">
        <f t="shared" ca="1" si="46"/>
        <v>1</v>
      </c>
      <c r="G123" s="46">
        <v>0</v>
      </c>
      <c r="H123" s="14" t="str">
        <f t="shared" ca="1" si="47"/>
        <v>R. Grave</v>
      </c>
    </row>
    <row r="124" spans="1:10" ht="13.95" customHeight="1" x14ac:dyDescent="0.3">
      <c r="A124" s="54" t="s">
        <v>73</v>
      </c>
      <c r="B124" s="57" t="s">
        <v>26</v>
      </c>
      <c r="C124" s="27">
        <f>D123</f>
        <v>45089</v>
      </c>
      <c r="D124" s="27">
        <f>C124</f>
        <v>45089</v>
      </c>
      <c r="E124" s="45">
        <f t="shared" si="45"/>
        <v>1</v>
      </c>
      <c r="F124" s="46">
        <f t="shared" ca="1" si="46"/>
        <v>1</v>
      </c>
      <c r="G124" s="46">
        <v>0</v>
      </c>
      <c r="H124" s="14" t="str">
        <f t="shared" ca="1" si="47"/>
        <v>R. Grave</v>
      </c>
    </row>
    <row r="125" spans="1:10" ht="13.95" customHeight="1" x14ac:dyDescent="0.3">
      <c r="A125" s="54"/>
      <c r="B125" s="57"/>
      <c r="C125" s="27"/>
      <c r="D125" s="27"/>
      <c r="E125" s="45"/>
      <c r="F125" s="43"/>
      <c r="G125" s="43"/>
      <c r="H125" s="56"/>
    </row>
    <row r="126" spans="1:10" ht="13.95" customHeight="1" x14ac:dyDescent="0.3">
      <c r="A126" s="35" t="s">
        <v>51</v>
      </c>
      <c r="B126" s="57"/>
      <c r="C126" s="27"/>
      <c r="D126" s="27"/>
      <c r="E126" s="42"/>
      <c r="F126" s="43"/>
      <c r="G126" s="43"/>
      <c r="H126" s="56"/>
    </row>
    <row r="127" spans="1:10" ht="13.95" customHeight="1" x14ac:dyDescent="0.3">
      <c r="A127" s="29" t="s">
        <v>72</v>
      </c>
      <c r="B127" s="57" t="s">
        <v>4</v>
      </c>
      <c r="C127" s="27">
        <v>45061</v>
      </c>
      <c r="D127" s="27">
        <f>C127+14</f>
        <v>45075</v>
      </c>
      <c r="E127" s="45">
        <f t="shared" ref="E127" si="48">+NETWORKDAYS(C127,D127)</f>
        <v>11</v>
      </c>
      <c r="F127" s="46">
        <f t="shared" ref="F127" ca="1" si="49">IF((NETWORKDAYS(C127,TODAY())/E127)&gt;1,1,IF((NETWORKDAYS(C127,TODAY())/E127)&lt;0,0,NETWORKDAYS(C127,TODAY())/E127))</f>
        <v>1</v>
      </c>
      <c r="G127" s="46">
        <v>1</v>
      </c>
      <c r="H127" s="14" t="str">
        <f t="shared" ref="H127" ca="1" si="50">+IF(F127=0,"Pendiente",IF(G127=100%,"Terminado",IF(G127&gt;=F127,"En Tiempo",IF((G127/F127)&gt;=75%,IF((G127/F127)&lt;=99.9%,"R. Leve"),IF((G127/F127)&gt;=50%,IF((G127/F127)&lt;=74%,"R. Medio"),IF((G127/F127)&gt;=50%,IF((G127/F127)&gt;=49%,"R. Crítico"),IF(F127=0,"Pendiente",IF(G127=100%,"Terminado",IF(G127=F127,"En Tiempo",IF(G127&lt;F127,"R. Grave",IF(G127&gt;F127,"Adelantado","")))))))))))</f>
        <v>Terminado</v>
      </c>
      <c r="J127" s="1" t="s">
        <v>198</v>
      </c>
    </row>
    <row r="128" spans="1:10" ht="13.95" customHeight="1" x14ac:dyDescent="0.3">
      <c r="A128" s="79" t="s">
        <v>69</v>
      </c>
      <c r="B128" s="80" t="s">
        <v>4</v>
      </c>
      <c r="C128" s="27"/>
      <c r="D128" s="27"/>
      <c r="E128" s="45"/>
      <c r="F128" s="46"/>
      <c r="G128" s="46"/>
      <c r="H128" s="46"/>
    </row>
    <row r="129" spans="1:8" ht="13.95" customHeight="1" x14ac:dyDescent="0.3">
      <c r="A129" s="79" t="s">
        <v>70</v>
      </c>
      <c r="B129" s="80" t="s">
        <v>4</v>
      </c>
      <c r="C129" s="27"/>
      <c r="D129" s="27"/>
      <c r="E129" s="45"/>
      <c r="F129" s="46"/>
      <c r="G129" s="46"/>
      <c r="H129" s="46"/>
    </row>
    <row r="130" spans="1:8" ht="13.95" customHeight="1" x14ac:dyDescent="0.3">
      <c r="A130" s="79" t="s">
        <v>71</v>
      </c>
      <c r="B130" s="80" t="s">
        <v>4</v>
      </c>
      <c r="C130" s="27"/>
      <c r="D130" s="27"/>
      <c r="E130" s="45"/>
      <c r="F130" s="46"/>
      <c r="G130" s="46"/>
      <c r="H130" s="46"/>
    </row>
    <row r="131" spans="1:8" ht="13.95" customHeight="1" x14ac:dyDescent="0.3">
      <c r="A131" s="29" t="s">
        <v>168</v>
      </c>
      <c r="B131" s="57" t="s">
        <v>26</v>
      </c>
      <c r="C131" s="27">
        <f>D127</f>
        <v>45075</v>
      </c>
      <c r="D131" s="27">
        <f>C131+7</f>
        <v>45082</v>
      </c>
      <c r="E131" s="45">
        <f t="shared" ref="E131:E135" si="51">+NETWORKDAYS(C131,D131)</f>
        <v>6</v>
      </c>
      <c r="F131" s="46">
        <f ca="1">IF((NETWORKDAYS(C132,TODAY())/E131)&gt;1,1,IF((NETWORKDAYS(C132,TODAY())/E131)&lt;0,0,NETWORKDAYS(C132,TODAY())/E131))</f>
        <v>1</v>
      </c>
      <c r="G131" s="46">
        <v>0</v>
      </c>
      <c r="H131" s="14" t="str">
        <f t="shared" ref="H131:H135" ca="1" si="52">+IF(F131=0,"Pendiente",IF(G131=100%,"Terminado",IF(G131&gt;=F131,"En Tiempo",IF((G131/F131)&gt;=75%,IF((G131/F131)&lt;=99.9%,"R. Leve"),IF((G131/F131)&gt;=50%,IF((G131/F131)&lt;=74%,"R. Medio"),IF((G131/F131)&gt;=50%,IF((G131/F131)&gt;=49%,"R. Crítico"),IF(F131=0,"Pendiente",IF(G131=100%,"Terminado",IF(G131=F131,"En Tiempo",IF(G131&lt;F131,"R. Grave",IF(G131&gt;F131,"Adelantado","")))))))))))</f>
        <v>R. Grave</v>
      </c>
    </row>
    <row r="132" spans="1:8" ht="14.25" customHeight="1" x14ac:dyDescent="0.3">
      <c r="A132" s="29" t="s">
        <v>199</v>
      </c>
      <c r="B132" s="57" t="s">
        <v>4</v>
      </c>
      <c r="C132" s="27">
        <f>D127</f>
        <v>45075</v>
      </c>
      <c r="D132" s="27">
        <f>C132+14</f>
        <v>45089</v>
      </c>
      <c r="E132" s="45">
        <f t="shared" si="51"/>
        <v>11</v>
      </c>
      <c r="F132" s="46">
        <f ca="1">IF((NETWORKDAYS(C133,TODAY())/E132)&gt;1,1,IF((NETWORKDAYS(C133,TODAY())/E132)&lt;0,0,NETWORKDAYS(C133,TODAY())/E132))</f>
        <v>1</v>
      </c>
      <c r="G132" s="46">
        <v>0</v>
      </c>
      <c r="H132" s="14" t="str">
        <f t="shared" ca="1" si="52"/>
        <v>R. Grave</v>
      </c>
    </row>
    <row r="133" spans="1:8" ht="14.25" customHeight="1" x14ac:dyDescent="0.3">
      <c r="A133" s="54" t="s">
        <v>169</v>
      </c>
      <c r="B133" s="57" t="s">
        <v>4</v>
      </c>
      <c r="C133" s="27">
        <f>D132-7</f>
        <v>45082</v>
      </c>
      <c r="D133" s="27">
        <f>C133+7</f>
        <v>45089</v>
      </c>
      <c r="E133" s="45">
        <f t="shared" si="51"/>
        <v>6</v>
      </c>
      <c r="F133" s="46">
        <f ca="1">IF((NETWORKDAYS(C134,TODAY())/E133)&gt;1,1,IF((NETWORKDAYS(C134,TODAY())/E133)&lt;0,0,NETWORKDAYS(C134,TODAY())/E133))</f>
        <v>1</v>
      </c>
      <c r="G133" s="46">
        <v>0</v>
      </c>
      <c r="H133" s="14" t="str">
        <f t="shared" ca="1" si="52"/>
        <v>R. Grave</v>
      </c>
    </row>
    <row r="134" spans="1:8" ht="14.25" customHeight="1" x14ac:dyDescent="0.3">
      <c r="A134" s="29" t="s">
        <v>197</v>
      </c>
      <c r="B134" s="57" t="s">
        <v>26</v>
      </c>
      <c r="C134" s="27">
        <f>D133</f>
        <v>45089</v>
      </c>
      <c r="D134" s="27">
        <f>C134</f>
        <v>45089</v>
      </c>
      <c r="E134" s="45">
        <f t="shared" si="51"/>
        <v>1</v>
      </c>
      <c r="F134" s="46">
        <f ca="1">IF((NETWORKDAYS(C135,TODAY())/E134)&gt;1,1,IF((NETWORKDAYS(C135,TODAY())/E134)&lt;0,0,NETWORKDAYS(C135,TODAY())/E134))</f>
        <v>1</v>
      </c>
      <c r="G134" s="46">
        <v>0</v>
      </c>
      <c r="H134" s="14" t="str">
        <f t="shared" ca="1" si="52"/>
        <v>R. Grave</v>
      </c>
    </row>
    <row r="135" spans="1:8" ht="13.95" customHeight="1" x14ac:dyDescent="0.3">
      <c r="A135" s="54" t="s">
        <v>73</v>
      </c>
      <c r="B135" s="57" t="s">
        <v>26</v>
      </c>
      <c r="C135" s="27">
        <f>D134</f>
        <v>45089</v>
      </c>
      <c r="D135" s="27">
        <f>C135+7</f>
        <v>45096</v>
      </c>
      <c r="E135" s="45">
        <f t="shared" si="51"/>
        <v>6</v>
      </c>
      <c r="F135" s="46">
        <f ca="1">IF((NETWORKDAYS(C135,TODAY())/E135)&gt;1,1,IF((NETWORKDAYS(C135,TODAY())/E135)&lt;0,0,NETWORKDAYS(C135,TODAY())/E135))</f>
        <v>1</v>
      </c>
      <c r="G135" s="46">
        <v>0</v>
      </c>
      <c r="H135" s="14" t="str">
        <f t="shared" ca="1" si="52"/>
        <v>R. Grave</v>
      </c>
    </row>
    <row r="136" spans="1:8" ht="14.25" customHeight="1" x14ac:dyDescent="0.3">
      <c r="A136" s="54"/>
      <c r="B136" s="57"/>
      <c r="C136" s="27"/>
      <c r="D136" s="27"/>
      <c r="E136" s="28"/>
      <c r="F136" s="56"/>
      <c r="G136" s="56"/>
      <c r="H136" s="56"/>
    </row>
    <row r="137" spans="1:8" ht="23.4" x14ac:dyDescent="0.3">
      <c r="A137" s="32" t="s">
        <v>74</v>
      </c>
      <c r="B137" s="33" t="s">
        <v>26</v>
      </c>
      <c r="C137" s="34">
        <f>MIN(C140:C167)</f>
        <v>45173</v>
      </c>
      <c r="D137" s="34">
        <f>MAX(D140:D167)</f>
        <v>45201</v>
      </c>
      <c r="E137" s="71">
        <f>NETWORKDAYS(C137,D137)</f>
        <v>21</v>
      </c>
      <c r="F137" s="72">
        <f ca="1">IF((NETWORKDAYS(C137,TODAY())/E137)&gt;1,1,IF((NETWORKDAYS(C137,TODAY())/E137)&lt;0,0,NETWORKDAYS(C137,TODAY())/E137))</f>
        <v>1</v>
      </c>
      <c r="G137" s="72">
        <f ca="1">IFERROR(F137*(G138/F138),0)</f>
        <v>0</v>
      </c>
      <c r="H137" s="73"/>
    </row>
    <row r="138" spans="1:8" ht="14.4" customHeight="1" x14ac:dyDescent="0.3">
      <c r="A138" s="32"/>
      <c r="B138" s="34"/>
      <c r="C138" s="34"/>
      <c r="D138" s="34"/>
      <c r="E138" s="75"/>
      <c r="F138" s="74">
        <f ca="1">AVERAGE(F140:F167)</f>
        <v>1</v>
      </c>
      <c r="G138" s="74">
        <f>AVERAGE(G140:G167)</f>
        <v>0</v>
      </c>
      <c r="H138" s="73"/>
    </row>
    <row r="139" spans="1:8" ht="14.25" customHeight="1" x14ac:dyDescent="0.3">
      <c r="A139" s="54"/>
      <c r="B139" s="57"/>
      <c r="C139" s="27"/>
      <c r="D139" s="27"/>
      <c r="E139" s="28"/>
      <c r="F139" s="56"/>
      <c r="G139" s="56"/>
      <c r="H139" s="56"/>
    </row>
    <row r="140" spans="1:8" ht="14.25" customHeight="1" x14ac:dyDescent="0.3">
      <c r="A140" s="35" t="s">
        <v>3</v>
      </c>
      <c r="B140" s="59" t="s">
        <v>63</v>
      </c>
      <c r="C140" s="37">
        <f>MIN(C141:C144)</f>
        <v>45173</v>
      </c>
      <c r="D140" s="37">
        <f>MAX(D141:D144)</f>
        <v>45180</v>
      </c>
      <c r="E140" s="38"/>
      <c r="F140" s="39"/>
      <c r="G140" s="39"/>
      <c r="H140" s="14"/>
    </row>
    <row r="141" spans="1:8" ht="14.25" customHeight="1" x14ac:dyDescent="0.3">
      <c r="A141" s="54"/>
      <c r="B141" s="57"/>
      <c r="C141" s="41"/>
      <c r="D141" s="41"/>
      <c r="E141" s="42"/>
      <c r="F141" s="43"/>
      <c r="G141" s="43"/>
      <c r="H141" s="56"/>
    </row>
    <row r="142" spans="1:8" ht="14.25" customHeight="1" x14ac:dyDescent="0.3">
      <c r="A142" s="29" t="s">
        <v>200</v>
      </c>
      <c r="B142" s="57" t="s">
        <v>26</v>
      </c>
      <c r="C142" s="27">
        <f>C172-14</f>
        <v>45173</v>
      </c>
      <c r="D142" s="27">
        <f>C142+7</f>
        <v>45180</v>
      </c>
      <c r="E142" s="45">
        <f>+NETWORKDAYS(C142,D142)</f>
        <v>6</v>
      </c>
      <c r="F142" s="46">
        <f ca="1">IF((NETWORKDAYS(C142,TODAY())/E142)&gt;1,1,IF((NETWORKDAYS(C142,TODAY())/E142)&lt;0,0,NETWORKDAYS(C142,TODAY())/E142))</f>
        <v>1</v>
      </c>
      <c r="G142" s="46">
        <v>0</v>
      </c>
      <c r="H142" s="14" t="str">
        <f t="shared" ref="H142:H143" ca="1" si="53">+IF(F142=0,"Pendiente",IF(G142=100%,"Terminado",IF(G142&gt;=F142,"En Tiempo",IF((G142/F142)&gt;=75%,IF((G142/F142)&lt;=99.9%,"R. Leve"),IF((G142/F142)&gt;=50%,IF((G142/F142)&lt;=74%,"R. Medio"),IF((G142/F142)&gt;=50%,IF((G142/F142)&gt;=49%,"R. Crítico"),IF(F142=0,"Pendiente",IF(G142=100%,"Terminado",IF(G142=F142,"En Tiempo",IF(G142&lt;F142,"R. Grave",IF(G142&gt;F142,"Adelantado","")))))))))))</f>
        <v>R. Grave</v>
      </c>
    </row>
    <row r="143" spans="1:8" ht="14.25" customHeight="1" x14ac:dyDescent="0.3">
      <c r="A143" s="54" t="s">
        <v>83</v>
      </c>
      <c r="B143" s="57" t="s">
        <v>63</v>
      </c>
      <c r="C143" s="27">
        <f>C142</f>
        <v>45173</v>
      </c>
      <c r="D143" s="27">
        <f>C143</f>
        <v>45173</v>
      </c>
      <c r="E143" s="45">
        <f>+NETWORKDAYS(C143,D143)</f>
        <v>1</v>
      </c>
      <c r="F143" s="46">
        <f ca="1">IF((NETWORKDAYS(C143,TODAY())/E143)&gt;1,1,IF((NETWORKDAYS(C143,TODAY())/E143)&lt;0,0,NETWORKDAYS(C143,TODAY())/E143))</f>
        <v>1</v>
      </c>
      <c r="G143" s="46">
        <v>0</v>
      </c>
      <c r="H143" s="14" t="str">
        <f t="shared" ca="1" si="53"/>
        <v>R. Grave</v>
      </c>
    </row>
    <row r="144" spans="1:8" ht="14.25" customHeight="1" x14ac:dyDescent="0.3">
      <c r="A144" s="54"/>
      <c r="B144" s="57"/>
      <c r="C144" s="27"/>
      <c r="D144" s="27"/>
      <c r="E144" s="28"/>
      <c r="F144" s="56"/>
      <c r="G144" s="56"/>
      <c r="H144" s="56"/>
    </row>
    <row r="145" spans="1:8" ht="14.25" customHeight="1" x14ac:dyDescent="0.3">
      <c r="A145" s="35" t="s">
        <v>8</v>
      </c>
      <c r="B145" s="59" t="s">
        <v>85</v>
      </c>
      <c r="C145" s="37">
        <f>MIN(C146:C151)</f>
        <v>45173</v>
      </c>
      <c r="D145" s="37">
        <f>MAX(D146:D151)</f>
        <v>45187</v>
      </c>
      <c r="E145" s="38"/>
      <c r="F145" s="39"/>
      <c r="G145" s="39"/>
      <c r="H145" s="14"/>
    </row>
    <row r="146" spans="1:8" ht="14.25" customHeight="1" x14ac:dyDescent="0.3">
      <c r="A146" s="54"/>
      <c r="B146" s="57"/>
      <c r="C146" s="41"/>
      <c r="D146" s="41"/>
      <c r="E146" s="42"/>
      <c r="F146" s="43"/>
      <c r="G146" s="43"/>
      <c r="H146" s="56"/>
    </row>
    <row r="147" spans="1:8" ht="14.25" customHeight="1" x14ac:dyDescent="0.3">
      <c r="A147" s="54" t="s">
        <v>84</v>
      </c>
      <c r="B147" s="57" t="s">
        <v>85</v>
      </c>
      <c r="C147" s="27">
        <f>C143</f>
        <v>45173</v>
      </c>
      <c r="D147" s="27">
        <f>C147+7</f>
        <v>45180</v>
      </c>
      <c r="E147" s="45">
        <f>+NETWORKDAYS(C147,D147)</f>
        <v>6</v>
      </c>
      <c r="F147" s="46">
        <f ca="1">IF((NETWORKDAYS(C147,TODAY())/E147)&gt;1,1,IF((NETWORKDAYS(C147,TODAY())/E147)&lt;0,0,NETWORKDAYS(C147,TODAY())/E147))</f>
        <v>1</v>
      </c>
      <c r="G147" s="46">
        <v>0</v>
      </c>
      <c r="H147" s="14" t="str">
        <f t="shared" ref="H147:H166" ca="1" si="54">+IF(F147=0,"Pendiente",IF(G147=100%,"Terminado",IF(G147&gt;=F147,"En Tiempo",IF((G147/F147)&gt;=75%,IF((G147/F147)&lt;=99.9%,"R. Leve"),IF((G147/F147)&gt;=50%,IF((G147/F147)&lt;=74%,"R. Medio"),IF((G147/F147)&gt;=50%,IF((G147/F147)&gt;=49%,"R. Crítico"),IF(F147=0,"Pendiente",IF(G147=100%,"Terminado",IF(G147=F147,"En Tiempo",IF(G147&lt;F147,"R. Grave",IF(G147&gt;F147,"Adelantado","")))))))))))</f>
        <v>R. Grave</v>
      </c>
    </row>
    <row r="148" spans="1:8" ht="14.25" customHeight="1" x14ac:dyDescent="0.3">
      <c r="A148" s="54" t="s">
        <v>86</v>
      </c>
      <c r="B148" s="57" t="s">
        <v>85</v>
      </c>
      <c r="C148" s="27">
        <f>D142</f>
        <v>45180</v>
      </c>
      <c r="D148" s="27">
        <f>C148+7</f>
        <v>45187</v>
      </c>
      <c r="E148" s="45">
        <f>+NETWORKDAYS(C148,D148)</f>
        <v>6</v>
      </c>
      <c r="F148" s="46">
        <f ca="1">IF((NETWORKDAYS(C148,TODAY())/E148)&gt;1,1,IF((NETWORKDAYS(C148,TODAY())/E148)&lt;0,0,NETWORKDAYS(C148,TODAY())/E148))</f>
        <v>1</v>
      </c>
      <c r="G148" s="46">
        <v>0</v>
      </c>
      <c r="H148" s="14" t="str">
        <f t="shared" ca="1" si="54"/>
        <v>R. Grave</v>
      </c>
    </row>
    <row r="149" spans="1:8" ht="14.25" customHeight="1" x14ac:dyDescent="0.3">
      <c r="A149" s="54" t="s">
        <v>87</v>
      </c>
      <c r="B149" s="57" t="s">
        <v>85</v>
      </c>
      <c r="C149" s="27">
        <f>D148</f>
        <v>45187</v>
      </c>
      <c r="D149" s="27">
        <f>C149</f>
        <v>45187</v>
      </c>
      <c r="E149" s="45">
        <f>+NETWORKDAYS(C149,D149)</f>
        <v>1</v>
      </c>
      <c r="F149" s="46">
        <f ca="1">IF((NETWORKDAYS(C149,TODAY())/E149)&gt;1,1,IF((NETWORKDAYS(C149,TODAY())/E149)&lt;0,0,NETWORKDAYS(C149,TODAY())/E149))</f>
        <v>1</v>
      </c>
      <c r="G149" s="46">
        <v>0</v>
      </c>
      <c r="H149" s="14" t="str">
        <f t="shared" ca="1" si="54"/>
        <v>R. Grave</v>
      </c>
    </row>
    <row r="150" spans="1:8" ht="14.25" customHeight="1" x14ac:dyDescent="0.3">
      <c r="A150" s="54" t="s">
        <v>88</v>
      </c>
      <c r="B150" s="40" t="s">
        <v>85</v>
      </c>
      <c r="C150" s="27">
        <f>C147</f>
        <v>45173</v>
      </c>
      <c r="D150" s="27">
        <f>D149</f>
        <v>45187</v>
      </c>
      <c r="E150" s="45">
        <f>+NETWORKDAYS(C150,D150)</f>
        <v>11</v>
      </c>
      <c r="F150" s="46">
        <f ca="1">IF((NETWORKDAYS(C150,TODAY())/E150)&gt;1,1,IF((NETWORKDAYS(C150,TODAY())/E150)&lt;0,0,NETWORKDAYS(C150,TODAY())/E150))</f>
        <v>1</v>
      </c>
      <c r="G150" s="46">
        <v>0</v>
      </c>
      <c r="H150" s="14" t="str">
        <f t="shared" ca="1" si="54"/>
        <v>R. Grave</v>
      </c>
    </row>
    <row r="151" spans="1:8" ht="14.25" customHeight="1" x14ac:dyDescent="0.3">
      <c r="A151" s="54"/>
      <c r="B151" s="57"/>
      <c r="C151" s="27"/>
      <c r="D151" s="27"/>
      <c r="E151" s="28"/>
      <c r="F151" s="56"/>
      <c r="G151" s="56"/>
      <c r="H151" s="56"/>
    </row>
    <row r="152" spans="1:8" ht="14.25" customHeight="1" x14ac:dyDescent="0.3">
      <c r="A152" s="35" t="s">
        <v>184</v>
      </c>
      <c r="B152" s="59" t="s">
        <v>76</v>
      </c>
      <c r="C152" s="37">
        <f>MIN(C153:C160)</f>
        <v>45173</v>
      </c>
      <c r="D152" s="37">
        <f>MAX(D153:D160)</f>
        <v>45201</v>
      </c>
      <c r="E152" s="38"/>
      <c r="F152" s="39"/>
      <c r="G152" s="39"/>
      <c r="H152" s="14"/>
    </row>
    <row r="153" spans="1:8" ht="14.25" customHeight="1" x14ac:dyDescent="0.3">
      <c r="A153" s="54"/>
      <c r="B153" s="57"/>
      <c r="C153" s="41"/>
      <c r="D153" s="41"/>
      <c r="E153" s="42"/>
      <c r="F153" s="43"/>
      <c r="G153" s="43"/>
      <c r="H153" s="56"/>
    </row>
    <row r="154" spans="1:8" ht="14.25" customHeight="1" x14ac:dyDescent="0.3">
      <c r="A154" s="54" t="s">
        <v>75</v>
      </c>
      <c r="B154" s="57" t="s">
        <v>76</v>
      </c>
      <c r="C154" s="27">
        <f>C142</f>
        <v>45173</v>
      </c>
      <c r="D154" s="27">
        <f>C154+28</f>
        <v>45201</v>
      </c>
      <c r="E154" s="45">
        <f t="shared" ref="E154:E159" si="55">+NETWORKDAYS(C154,D154)</f>
        <v>21</v>
      </c>
      <c r="F154" s="46">
        <f t="shared" ref="F154:F159" ca="1" si="56">IF((NETWORKDAYS(C154,TODAY())/E154)&gt;1,1,IF((NETWORKDAYS(C154,TODAY())/E154)&lt;0,0,NETWORKDAYS(C154,TODAY())/E154))</f>
        <v>1</v>
      </c>
      <c r="G154" s="46">
        <v>0</v>
      </c>
      <c r="H154" s="14" t="str">
        <f t="shared" ca="1" si="54"/>
        <v>R. Grave</v>
      </c>
    </row>
    <row r="155" spans="1:8" ht="14.25" customHeight="1" x14ac:dyDescent="0.3">
      <c r="A155" s="54" t="s">
        <v>77</v>
      </c>
      <c r="B155" s="40" t="s">
        <v>9</v>
      </c>
      <c r="C155" s="27">
        <f>$C$154</f>
        <v>45173</v>
      </c>
      <c r="D155" s="27">
        <f>$D$154</f>
        <v>45201</v>
      </c>
      <c r="E155" s="45">
        <f t="shared" si="55"/>
        <v>21</v>
      </c>
      <c r="F155" s="46">
        <f t="shared" ca="1" si="56"/>
        <v>1</v>
      </c>
      <c r="G155" s="46">
        <v>0</v>
      </c>
      <c r="H155" s="14" t="str">
        <f t="shared" ca="1" si="54"/>
        <v>R. Grave</v>
      </c>
    </row>
    <row r="156" spans="1:8" ht="14.25" customHeight="1" x14ac:dyDescent="0.3">
      <c r="A156" s="54" t="s">
        <v>78</v>
      </c>
      <c r="B156" s="57" t="s">
        <v>61</v>
      </c>
      <c r="C156" s="27">
        <f t="shared" ref="C156:C159" si="57">$C$154</f>
        <v>45173</v>
      </c>
      <c r="D156" s="27">
        <f t="shared" ref="D156:D159" si="58">$D$154</f>
        <v>45201</v>
      </c>
      <c r="E156" s="45">
        <f t="shared" si="55"/>
        <v>21</v>
      </c>
      <c r="F156" s="46">
        <f t="shared" ca="1" si="56"/>
        <v>1</v>
      </c>
      <c r="G156" s="46">
        <v>0</v>
      </c>
      <c r="H156" s="14" t="str">
        <f t="shared" ca="1" si="54"/>
        <v>R. Grave</v>
      </c>
    </row>
    <row r="157" spans="1:8" ht="14.25" customHeight="1" x14ac:dyDescent="0.3">
      <c r="A157" s="54" t="s">
        <v>79</v>
      </c>
      <c r="B157" s="57" t="s">
        <v>61</v>
      </c>
      <c r="C157" s="27">
        <f t="shared" si="57"/>
        <v>45173</v>
      </c>
      <c r="D157" s="27">
        <f t="shared" si="58"/>
        <v>45201</v>
      </c>
      <c r="E157" s="45">
        <f t="shared" si="55"/>
        <v>21</v>
      </c>
      <c r="F157" s="46">
        <f t="shared" ca="1" si="56"/>
        <v>1</v>
      </c>
      <c r="G157" s="46">
        <v>0</v>
      </c>
      <c r="H157" s="14" t="str">
        <f t="shared" ca="1" si="54"/>
        <v>R. Grave</v>
      </c>
    </row>
    <row r="158" spans="1:8" ht="14.25" customHeight="1" x14ac:dyDescent="0.3">
      <c r="A158" s="54" t="s">
        <v>80</v>
      </c>
      <c r="B158" s="57" t="s">
        <v>76</v>
      </c>
      <c r="C158" s="27">
        <f t="shared" si="57"/>
        <v>45173</v>
      </c>
      <c r="D158" s="27">
        <f t="shared" si="58"/>
        <v>45201</v>
      </c>
      <c r="E158" s="45">
        <f t="shared" si="55"/>
        <v>21</v>
      </c>
      <c r="F158" s="46">
        <f t="shared" ca="1" si="56"/>
        <v>1</v>
      </c>
      <c r="G158" s="46">
        <v>0</v>
      </c>
      <c r="H158" s="14" t="str">
        <f t="shared" ca="1" si="54"/>
        <v>R. Grave</v>
      </c>
    </row>
    <row r="159" spans="1:8" ht="14.25" customHeight="1" x14ac:dyDescent="0.3">
      <c r="A159" s="54" t="s">
        <v>90</v>
      </c>
      <c r="B159" s="40" t="s">
        <v>76</v>
      </c>
      <c r="C159" s="27">
        <f t="shared" si="57"/>
        <v>45173</v>
      </c>
      <c r="D159" s="27">
        <f t="shared" si="58"/>
        <v>45201</v>
      </c>
      <c r="E159" s="45">
        <f t="shared" si="55"/>
        <v>21</v>
      </c>
      <c r="F159" s="46">
        <f t="shared" ca="1" si="56"/>
        <v>1</v>
      </c>
      <c r="G159" s="46">
        <v>0</v>
      </c>
      <c r="H159" s="14" t="str">
        <f t="shared" ca="1" si="54"/>
        <v>R. Grave</v>
      </c>
    </row>
    <row r="160" spans="1:8" ht="14.25" customHeight="1" x14ac:dyDescent="0.3">
      <c r="A160" s="54"/>
      <c r="B160" s="57"/>
      <c r="C160" s="27"/>
      <c r="D160" s="27"/>
      <c r="E160" s="28"/>
      <c r="F160" s="56"/>
      <c r="G160" s="56"/>
      <c r="H160" s="56"/>
    </row>
    <row r="161" spans="1:8" ht="14.25" customHeight="1" x14ac:dyDescent="0.3">
      <c r="A161" s="35" t="s">
        <v>5</v>
      </c>
      <c r="B161" s="36" t="s">
        <v>59</v>
      </c>
      <c r="C161" s="37">
        <f>MIN(C162:C167)</f>
        <v>45173</v>
      </c>
      <c r="D161" s="37">
        <f>MAX(D162:D167)</f>
        <v>45201</v>
      </c>
      <c r="E161" s="38"/>
      <c r="F161" s="39"/>
      <c r="G161" s="39"/>
      <c r="H161" s="14"/>
    </row>
    <row r="162" spans="1:8" ht="14.25" customHeight="1" x14ac:dyDescent="0.3">
      <c r="A162" s="54"/>
      <c r="B162" s="57"/>
      <c r="C162" s="41"/>
      <c r="D162" s="41"/>
      <c r="E162" s="42"/>
      <c r="F162" s="43"/>
      <c r="G162" s="43"/>
      <c r="H162" s="56"/>
    </row>
    <row r="163" spans="1:8" ht="14.25" customHeight="1" x14ac:dyDescent="0.3">
      <c r="A163" s="54" t="s">
        <v>89</v>
      </c>
      <c r="B163" s="40" t="s">
        <v>59</v>
      </c>
      <c r="C163" s="27">
        <f t="shared" ref="C163:C166" si="59">$C$154</f>
        <v>45173</v>
      </c>
      <c r="D163" s="27">
        <f t="shared" ref="D163:D166" si="60">$D$154</f>
        <v>45201</v>
      </c>
      <c r="E163" s="45">
        <f>+NETWORKDAYS(C163,D163)</f>
        <v>21</v>
      </c>
      <c r="F163" s="46">
        <f ca="1">IF((NETWORKDAYS(C163,TODAY())/E163)&gt;1,1,IF((NETWORKDAYS(C163,TODAY())/E163)&lt;0,0,NETWORKDAYS(C163,TODAY())/E163))</f>
        <v>1</v>
      </c>
      <c r="G163" s="46">
        <v>0</v>
      </c>
      <c r="H163" s="14" t="str">
        <f t="shared" ca="1" si="54"/>
        <v>R. Grave</v>
      </c>
    </row>
    <row r="164" spans="1:8" ht="14.25" customHeight="1" x14ac:dyDescent="0.3">
      <c r="A164" s="54" t="s">
        <v>201</v>
      </c>
      <c r="B164" s="40" t="s">
        <v>59</v>
      </c>
      <c r="C164" s="27">
        <f t="shared" si="59"/>
        <v>45173</v>
      </c>
      <c r="D164" s="27">
        <f t="shared" si="60"/>
        <v>45201</v>
      </c>
      <c r="E164" s="45">
        <f>+NETWORKDAYS(C164,D164)</f>
        <v>21</v>
      </c>
      <c r="F164" s="46">
        <f ca="1">IF((NETWORKDAYS(C164,TODAY())/E164)&gt;1,1,IF((NETWORKDAYS(C164,TODAY())/E164)&lt;0,0,NETWORKDAYS(C164,TODAY())/E164))</f>
        <v>1</v>
      </c>
      <c r="G164" s="46">
        <v>0</v>
      </c>
      <c r="H164" s="14" t="str">
        <f t="shared" ca="1" si="54"/>
        <v>R. Grave</v>
      </c>
    </row>
    <row r="165" spans="1:8" ht="14.25" customHeight="1" x14ac:dyDescent="0.3">
      <c r="A165" s="54" t="s">
        <v>81</v>
      </c>
      <c r="B165" s="40" t="s">
        <v>59</v>
      </c>
      <c r="C165" s="27">
        <f t="shared" si="59"/>
        <v>45173</v>
      </c>
      <c r="D165" s="27">
        <f t="shared" si="60"/>
        <v>45201</v>
      </c>
      <c r="E165" s="45">
        <f>+NETWORKDAYS(C165,D165)</f>
        <v>21</v>
      </c>
      <c r="F165" s="46">
        <f ca="1">IF((NETWORKDAYS(C165,TODAY())/E165)&gt;1,1,IF((NETWORKDAYS(C165,TODAY())/E165)&lt;0,0,NETWORKDAYS(C165,TODAY())/E165))</f>
        <v>1</v>
      </c>
      <c r="G165" s="46">
        <v>0</v>
      </c>
      <c r="H165" s="14" t="str">
        <f t="shared" ca="1" si="54"/>
        <v>R. Grave</v>
      </c>
    </row>
    <row r="166" spans="1:8" ht="14.25" customHeight="1" x14ac:dyDescent="0.3">
      <c r="A166" s="54" t="s">
        <v>82</v>
      </c>
      <c r="B166" s="40" t="s">
        <v>59</v>
      </c>
      <c r="C166" s="27">
        <f t="shared" si="59"/>
        <v>45173</v>
      </c>
      <c r="D166" s="27">
        <f t="shared" si="60"/>
        <v>45201</v>
      </c>
      <c r="E166" s="45">
        <f>+NETWORKDAYS(C166,D166)</f>
        <v>21</v>
      </c>
      <c r="F166" s="46">
        <f ca="1">IF((NETWORKDAYS(C166,TODAY())/E166)&gt;1,1,IF((NETWORKDAYS(C166,TODAY())/E166)&lt;0,0,NETWORKDAYS(C166,TODAY())/E166))</f>
        <v>1</v>
      </c>
      <c r="G166" s="46">
        <v>0</v>
      </c>
      <c r="H166" s="14" t="str">
        <f t="shared" ca="1" si="54"/>
        <v>R. Grave</v>
      </c>
    </row>
    <row r="167" spans="1:8" ht="14.25" customHeight="1" x14ac:dyDescent="0.3">
      <c r="A167" s="54"/>
      <c r="B167" s="57"/>
      <c r="C167" s="27"/>
      <c r="D167" s="27"/>
      <c r="E167" s="28"/>
      <c r="F167" s="56"/>
      <c r="G167" s="56"/>
      <c r="H167" s="56"/>
    </row>
    <row r="168" spans="1:8" ht="26.4" customHeight="1" x14ac:dyDescent="0.3">
      <c r="A168" s="32" t="s">
        <v>91</v>
      </c>
      <c r="B168" s="33" t="s">
        <v>92</v>
      </c>
      <c r="C168" s="34">
        <f>MIN(C170:C227)</f>
        <v>45145</v>
      </c>
      <c r="D168" s="34">
        <f>MAX(D170:D227)</f>
        <v>45244</v>
      </c>
      <c r="E168" s="71">
        <f>+NETWORKDAYS(C168,D168)</f>
        <v>72</v>
      </c>
      <c r="F168" s="72">
        <f ca="1">IF((NETWORKDAYS(C168,TODAY())/E168)&gt;1,1,IF((NETWORKDAYS(C168,TODAY())/E168)&lt;0,0,NETWORKDAYS(C168,TODAY())/E168))</f>
        <v>1</v>
      </c>
      <c r="G168" s="72">
        <f ca="1">IFERROR(F168*(G169/F169),0)</f>
        <v>0</v>
      </c>
      <c r="H168" s="73" t="str">
        <f t="shared" ref="H168" ca="1" si="61">+IF(F168=0,"Pendiente",IF(G168=100%,"Terminado",IF(G168&gt;=F168,"En Tiempo",IF((G168/F168)&gt;=75%,IF((G168/F168)&lt;=99.9%,"R. Leve"),IF((G168/F168)&gt;=50%,IF((G168/F168)&lt;=74%,"R. Medio"),IF((G168/F168)&gt;=50%,IF((G168/F168)&gt;=49%,"R. Crítico"),IF(F168=0,"Pendiente",IF(G168=100%,"Terminado",IF(G168=F168,"En Tiempo",IF(G168&lt;F168,"R. Grave",IF(G168&gt;F168,"Adelantado","")))))))))))</f>
        <v>R. Grave</v>
      </c>
    </row>
    <row r="169" spans="1:8" ht="14.4" customHeight="1" x14ac:dyDescent="0.3">
      <c r="A169" s="32"/>
      <c r="B169" s="34"/>
      <c r="C169" s="34"/>
      <c r="D169" s="34"/>
      <c r="E169" s="75" t="s">
        <v>33</v>
      </c>
      <c r="F169" s="74">
        <f ca="1">AVERAGE(F170:F227)</f>
        <v>1</v>
      </c>
      <c r="G169" s="74">
        <f>AVERAGE(G170:G227)</f>
        <v>0</v>
      </c>
      <c r="H169" s="73"/>
    </row>
    <row r="170" spans="1:8" ht="14.25" customHeight="1" x14ac:dyDescent="0.3">
      <c r="A170" s="54"/>
      <c r="B170" s="57"/>
      <c r="C170" s="41"/>
      <c r="D170" s="41"/>
      <c r="E170" s="42"/>
      <c r="F170" s="43"/>
      <c r="G170" s="43"/>
      <c r="H170" s="56"/>
    </row>
    <row r="171" spans="1:8" ht="13.95" customHeight="1" x14ac:dyDescent="0.3">
      <c r="A171" s="35" t="s">
        <v>32</v>
      </c>
      <c r="B171" s="57"/>
      <c r="C171" s="41"/>
      <c r="D171" s="41"/>
      <c r="E171" s="42"/>
      <c r="F171" s="43"/>
      <c r="G171" s="43"/>
      <c r="H171" s="56"/>
    </row>
    <row r="172" spans="1:8" ht="14.25" customHeight="1" x14ac:dyDescent="0.3">
      <c r="A172" s="54" t="s">
        <v>93</v>
      </c>
      <c r="B172" s="40" t="s">
        <v>92</v>
      </c>
      <c r="C172" s="77">
        <v>45187</v>
      </c>
      <c r="D172" s="27">
        <f>C172+7</f>
        <v>45194</v>
      </c>
      <c r="E172" s="45">
        <f t="shared" ref="E172:E178" si="62">+NETWORKDAYS(C172,D172)</f>
        <v>6</v>
      </c>
      <c r="F172" s="46">
        <f t="shared" ref="F172:F178" ca="1" si="63">IF((NETWORKDAYS(C172,TODAY())/E172)&gt;1,1,IF((NETWORKDAYS(C172,TODAY())/E172)&lt;0,0,NETWORKDAYS(C172,TODAY())/E172))</f>
        <v>1</v>
      </c>
      <c r="G172" s="46">
        <v>0</v>
      </c>
      <c r="H172" s="14" t="str">
        <f t="shared" ref="H172:H188" ca="1" si="64">+IF(F172=0,"Pendiente",IF(G172=100%,"Terminado",IF(G172&gt;=F172,"En Tiempo",IF((G172/F172)&gt;=75%,IF((G172/F172)&lt;=99.9%,"R. Leve"),IF((G172/F172)&gt;=50%,IF((G172/F172)&lt;=74%,"R. Medio"),IF((G172/F172)&gt;=50%,IF((G172/F172)&gt;=49%,"R. Crítico"),IF(F172=0,"Pendiente",IF(G172=100%,"Terminado",IF(G172=F172,"En Tiempo",IF(G172&lt;F172,"R. Grave",IF(G172&gt;F172,"Adelantado","")))))))))))</f>
        <v>R. Grave</v>
      </c>
    </row>
    <row r="173" spans="1:8" ht="14.25" customHeight="1" x14ac:dyDescent="0.3">
      <c r="A173" s="54" t="s">
        <v>94</v>
      </c>
      <c r="B173" s="40" t="s">
        <v>92</v>
      </c>
      <c r="C173" s="27">
        <f>C172+7</f>
        <v>45194</v>
      </c>
      <c r="D173" s="27">
        <f>C173+36</f>
        <v>45230</v>
      </c>
      <c r="E173" s="45">
        <f t="shared" si="62"/>
        <v>27</v>
      </c>
      <c r="F173" s="46">
        <f t="shared" ca="1" si="63"/>
        <v>1</v>
      </c>
      <c r="G173" s="46">
        <v>0</v>
      </c>
      <c r="H173" s="14" t="str">
        <f t="shared" ca="1" si="64"/>
        <v>R. Grave</v>
      </c>
    </row>
    <row r="174" spans="1:8" ht="14.25" customHeight="1" x14ac:dyDescent="0.3">
      <c r="A174" s="54" t="s">
        <v>95</v>
      </c>
      <c r="B174" s="40" t="s">
        <v>92</v>
      </c>
      <c r="C174" s="27">
        <f>C172</f>
        <v>45187</v>
      </c>
      <c r="D174" s="27">
        <f>D173+14</f>
        <v>45244</v>
      </c>
      <c r="E174" s="45">
        <f t="shared" si="62"/>
        <v>42</v>
      </c>
      <c r="F174" s="46">
        <f t="shared" ca="1" si="63"/>
        <v>1</v>
      </c>
      <c r="G174" s="46">
        <v>0</v>
      </c>
      <c r="H174" s="14" t="str">
        <f t="shared" ca="1" si="64"/>
        <v>R. Grave</v>
      </c>
    </row>
    <row r="175" spans="1:8" ht="14.25" customHeight="1" x14ac:dyDescent="0.3">
      <c r="A175" s="54" t="s">
        <v>96</v>
      </c>
      <c r="B175" s="40" t="s">
        <v>92</v>
      </c>
      <c r="C175" s="27">
        <f>D173</f>
        <v>45230</v>
      </c>
      <c r="D175" s="27">
        <f>C175+14</f>
        <v>45244</v>
      </c>
      <c r="E175" s="45">
        <f t="shared" si="62"/>
        <v>11</v>
      </c>
      <c r="F175" s="46">
        <f t="shared" ca="1" si="63"/>
        <v>1</v>
      </c>
      <c r="G175" s="46">
        <v>0</v>
      </c>
      <c r="H175" s="14" t="str">
        <f t="shared" ca="1" si="64"/>
        <v>R. Grave</v>
      </c>
    </row>
    <row r="176" spans="1:8" ht="14.25" customHeight="1" x14ac:dyDescent="0.3">
      <c r="A176" s="54" t="s">
        <v>97</v>
      </c>
      <c r="B176" s="40" t="s">
        <v>92</v>
      </c>
      <c r="C176" s="27">
        <f>D173</f>
        <v>45230</v>
      </c>
      <c r="D176" s="27">
        <f>C176+14</f>
        <v>45244</v>
      </c>
      <c r="E176" s="45">
        <f t="shared" si="62"/>
        <v>11</v>
      </c>
      <c r="F176" s="46">
        <f t="shared" ca="1" si="63"/>
        <v>1</v>
      </c>
      <c r="G176" s="46">
        <v>0</v>
      </c>
      <c r="H176" s="14" t="str">
        <f t="shared" ca="1" si="64"/>
        <v>R. Grave</v>
      </c>
    </row>
    <row r="177" spans="1:57" ht="14.25" customHeight="1" x14ac:dyDescent="0.3">
      <c r="A177" s="54" t="s">
        <v>98</v>
      </c>
      <c r="B177" s="40" t="s">
        <v>92</v>
      </c>
      <c r="C177" s="27">
        <f>D173</f>
        <v>45230</v>
      </c>
      <c r="D177" s="27">
        <f>C177+7</f>
        <v>45237</v>
      </c>
      <c r="E177" s="45">
        <f t="shared" si="62"/>
        <v>6</v>
      </c>
      <c r="F177" s="46">
        <f t="shared" ca="1" si="63"/>
        <v>1</v>
      </c>
      <c r="G177" s="46">
        <v>0</v>
      </c>
      <c r="H177" s="14" t="str">
        <f t="shared" ca="1" si="64"/>
        <v>R. Grave</v>
      </c>
    </row>
    <row r="178" spans="1:57" ht="14.25" customHeight="1" x14ac:dyDescent="0.3">
      <c r="A178" s="54" t="s">
        <v>99</v>
      </c>
      <c r="B178" s="40" t="s">
        <v>92</v>
      </c>
      <c r="C178" s="27">
        <f>D177</f>
        <v>45237</v>
      </c>
      <c r="D178" s="27">
        <f>C178+7</f>
        <v>45244</v>
      </c>
      <c r="E178" s="45">
        <f t="shared" si="62"/>
        <v>6</v>
      </c>
      <c r="F178" s="46">
        <f t="shared" ca="1" si="63"/>
        <v>1</v>
      </c>
      <c r="G178" s="46">
        <v>0</v>
      </c>
      <c r="H178" s="14" t="str">
        <f t="shared" ca="1" si="64"/>
        <v>R. Grave</v>
      </c>
    </row>
    <row r="179" spans="1:57" ht="14.25" customHeight="1" x14ac:dyDescent="0.3">
      <c r="A179" s="54"/>
      <c r="B179" s="57"/>
      <c r="C179" s="27"/>
      <c r="D179" s="27"/>
      <c r="E179" s="45"/>
      <c r="F179" s="56"/>
      <c r="G179" s="56"/>
      <c r="H179" s="56"/>
    </row>
    <row r="180" spans="1:57" ht="14.25" customHeight="1" x14ac:dyDescent="0.3">
      <c r="A180" s="54" t="s">
        <v>100</v>
      </c>
      <c r="B180" s="57" t="s">
        <v>7</v>
      </c>
      <c r="C180" s="27">
        <f>C172</f>
        <v>45187</v>
      </c>
      <c r="D180" s="27">
        <f>C180</f>
        <v>45187</v>
      </c>
      <c r="E180" s="45">
        <f>+NETWORKDAYS(C180,D180)</f>
        <v>1</v>
      </c>
      <c r="F180" s="46">
        <f ca="1">IF((NETWORKDAYS(C180,TODAY())/E180)&gt;1,1,IF((NETWORKDAYS(C180,TODAY())/E180)&lt;0,0,NETWORKDAYS(C180,TODAY())/E180))</f>
        <v>1</v>
      </c>
      <c r="G180" s="46">
        <v>0</v>
      </c>
      <c r="H180" s="14" t="str">
        <f t="shared" ca="1" si="64"/>
        <v>R. Grave</v>
      </c>
    </row>
    <row r="181" spans="1:57" ht="14.25" customHeight="1" x14ac:dyDescent="0.3">
      <c r="A181" s="54" t="s">
        <v>101</v>
      </c>
      <c r="B181" s="57" t="s">
        <v>7</v>
      </c>
      <c r="C181" s="27">
        <f>D180</f>
        <v>45187</v>
      </c>
      <c r="D181" s="27">
        <f>D174</f>
        <v>45244</v>
      </c>
      <c r="E181" s="45">
        <f>+NETWORKDAYS(C181,D181)</f>
        <v>42</v>
      </c>
      <c r="F181" s="46">
        <f ca="1">IF((NETWORKDAYS(C181,TODAY())/E181)&gt;1,1,IF((NETWORKDAYS(C181,TODAY())/E181)&lt;0,0,NETWORKDAYS(C181,TODAY())/E181))</f>
        <v>1</v>
      </c>
      <c r="G181" s="46">
        <v>0</v>
      </c>
      <c r="H181" s="14" t="str">
        <f t="shared" ca="1" si="64"/>
        <v>R. Grave</v>
      </c>
    </row>
    <row r="182" spans="1:57" ht="14.25" customHeight="1" x14ac:dyDescent="0.3">
      <c r="A182" s="54" t="s">
        <v>102</v>
      </c>
      <c r="B182" s="57" t="s">
        <v>103</v>
      </c>
      <c r="C182" s="27">
        <f>C172</f>
        <v>45187</v>
      </c>
      <c r="D182" s="27">
        <f>D173</f>
        <v>45230</v>
      </c>
      <c r="E182" s="45">
        <f>+NETWORKDAYS(C182,D182)</f>
        <v>32</v>
      </c>
      <c r="F182" s="46">
        <f ca="1">IF((NETWORKDAYS(C182,TODAY())/E182)&gt;1,1,IF((NETWORKDAYS(C182,TODAY())/E182)&lt;0,0,NETWORKDAYS(C182,TODAY())/E182))</f>
        <v>1</v>
      </c>
      <c r="G182" s="46">
        <v>0</v>
      </c>
      <c r="H182" s="14" t="str">
        <f t="shared" ca="1" si="64"/>
        <v>R. Grave</v>
      </c>
    </row>
    <row r="183" spans="1:57" s="25" customFormat="1" ht="14.25" customHeight="1" x14ac:dyDescent="0.3">
      <c r="A183" s="54"/>
      <c r="B183" s="57"/>
      <c r="C183" s="27"/>
      <c r="D183" s="27"/>
      <c r="E183" s="45"/>
      <c r="F183" s="56"/>
      <c r="G183" s="56"/>
      <c r="H183" s="56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</row>
    <row r="184" spans="1:57" s="25" customFormat="1" ht="14.25" customHeight="1" x14ac:dyDescent="0.3">
      <c r="A184" s="54" t="s">
        <v>104</v>
      </c>
      <c r="B184" s="40" t="s">
        <v>105</v>
      </c>
      <c r="C184" s="27">
        <f>C173</f>
        <v>45194</v>
      </c>
      <c r="D184" s="27">
        <f>D173</f>
        <v>45230</v>
      </c>
      <c r="E184" s="45">
        <f>+NETWORKDAYS(C184,D184)</f>
        <v>27</v>
      </c>
      <c r="F184" s="46">
        <f ca="1">IF((NETWORKDAYS(C184,TODAY())/E184)&gt;1,1,IF((NETWORKDAYS(C184,TODAY())/E184)&lt;0,0,NETWORKDAYS(C184,TODAY())/E184))</f>
        <v>1</v>
      </c>
      <c r="G184" s="46">
        <v>0</v>
      </c>
      <c r="H184" s="14" t="str">
        <f t="shared" ca="1" si="64"/>
        <v>R. Grave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</row>
    <row r="185" spans="1:57" s="25" customFormat="1" ht="14.25" customHeight="1" x14ac:dyDescent="0.3">
      <c r="A185" s="54" t="s">
        <v>106</v>
      </c>
      <c r="B185" s="40" t="s">
        <v>105</v>
      </c>
      <c r="C185" s="27">
        <f>D184</f>
        <v>45230</v>
      </c>
      <c r="D185" s="27">
        <f>C185</f>
        <v>45230</v>
      </c>
      <c r="E185" s="45">
        <f>+NETWORKDAYS(C185,D185)</f>
        <v>1</v>
      </c>
      <c r="F185" s="46">
        <f ca="1">IF((NETWORKDAYS(C185,TODAY())/E185)&gt;1,1,IF((NETWORKDAYS(C185,TODAY())/E185)&lt;0,0,NETWORKDAYS(C185,TODAY())/E185))</f>
        <v>1</v>
      </c>
      <c r="G185" s="46">
        <v>0</v>
      </c>
      <c r="H185" s="14" t="str">
        <f t="shared" ca="1" si="64"/>
        <v>R. Grave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</row>
    <row r="186" spans="1:57" s="25" customFormat="1" ht="14.25" customHeight="1" x14ac:dyDescent="0.3">
      <c r="A186" s="54"/>
      <c r="B186" s="57"/>
      <c r="C186" s="27"/>
      <c r="D186" s="27"/>
      <c r="E186" s="28"/>
      <c r="F186" s="56"/>
      <c r="G186" s="56"/>
      <c r="H186" s="56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</row>
    <row r="187" spans="1:57" s="25" customFormat="1" ht="14.25" customHeight="1" x14ac:dyDescent="0.3">
      <c r="A187" s="54" t="s">
        <v>107</v>
      </c>
      <c r="B187" s="40" t="s">
        <v>59</v>
      </c>
      <c r="C187" s="27">
        <f>C177</f>
        <v>45230</v>
      </c>
      <c r="D187" s="27">
        <f>D177</f>
        <v>45237</v>
      </c>
      <c r="E187" s="45">
        <f>+NETWORKDAYS(C187,D187)</f>
        <v>6</v>
      </c>
      <c r="F187" s="46">
        <f ca="1">IF((NETWORKDAYS(C187,TODAY())/E187)&gt;1,1,IF((NETWORKDAYS(C187,TODAY())/E187)&lt;0,0,NETWORKDAYS(C187,TODAY())/E187))</f>
        <v>1</v>
      </c>
      <c r="G187" s="46">
        <v>0</v>
      </c>
      <c r="H187" s="14" t="str">
        <f t="shared" ca="1" si="64"/>
        <v>R. Grave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</row>
    <row r="188" spans="1:57" s="25" customFormat="1" ht="14.25" customHeight="1" x14ac:dyDescent="0.3">
      <c r="A188" s="29" t="s">
        <v>108</v>
      </c>
      <c r="B188" s="40" t="s">
        <v>59</v>
      </c>
      <c r="C188" s="27">
        <f>C187</f>
        <v>45230</v>
      </c>
      <c r="D188" s="27">
        <f>D187</f>
        <v>45237</v>
      </c>
      <c r="E188" s="45">
        <f>+NETWORKDAYS(C188,D188)</f>
        <v>6</v>
      </c>
      <c r="F188" s="46">
        <f ca="1">IF((NETWORKDAYS(C188,TODAY())/E188)&gt;1,1,IF((NETWORKDAYS(C188,TODAY())/E188)&lt;0,0,NETWORKDAYS(C188,TODAY())/E188))</f>
        <v>1</v>
      </c>
      <c r="G188" s="46">
        <v>0</v>
      </c>
      <c r="H188" s="14" t="str">
        <f t="shared" ca="1" si="64"/>
        <v>R. Grave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</row>
    <row r="189" spans="1:57" s="25" customFormat="1" ht="14.25" customHeight="1" x14ac:dyDescent="0.3">
      <c r="A189" s="29"/>
      <c r="B189" s="40"/>
      <c r="C189" s="27"/>
      <c r="D189" s="27"/>
      <c r="E189" s="45"/>
      <c r="F189" s="46"/>
      <c r="G189" s="46"/>
      <c r="H189" s="14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</row>
    <row r="190" spans="1:57" ht="13.95" customHeight="1" x14ac:dyDescent="0.3">
      <c r="A190" s="35" t="s">
        <v>47</v>
      </c>
      <c r="B190" s="57"/>
      <c r="C190" s="41"/>
      <c r="D190" s="41"/>
      <c r="E190" s="42"/>
      <c r="F190" s="43"/>
      <c r="G190" s="43"/>
      <c r="H190" s="56"/>
    </row>
    <row r="191" spans="1:57" ht="14.25" customHeight="1" x14ac:dyDescent="0.3">
      <c r="A191" s="54" t="s">
        <v>93</v>
      </c>
      <c r="B191" s="40" t="s">
        <v>92</v>
      </c>
      <c r="C191" s="77">
        <v>45145</v>
      </c>
      <c r="D191" s="27">
        <f>C191+7</f>
        <v>45152</v>
      </c>
      <c r="E191" s="45">
        <f t="shared" ref="E191:E197" si="65">+NETWORKDAYS(C191,D191)</f>
        <v>6</v>
      </c>
      <c r="F191" s="46">
        <f t="shared" ref="F191:F197" ca="1" si="66">IF((NETWORKDAYS(C191,TODAY())/E191)&gt;1,1,IF((NETWORKDAYS(C191,TODAY())/E191)&lt;0,0,NETWORKDAYS(C191,TODAY())/E191))</f>
        <v>1</v>
      </c>
      <c r="G191" s="46">
        <v>0</v>
      </c>
      <c r="H191" s="14" t="str">
        <f t="shared" ref="H191:H197" ca="1" si="67">+IF(F191=0,"Pendiente",IF(G191=100%,"Terminado",IF(G191&gt;=F191,"En Tiempo",IF((G191/F191)&gt;=75%,IF((G191/F191)&lt;=99.9%,"R. Leve"),IF((G191/F191)&gt;=50%,IF((G191/F191)&lt;=74%,"R. Medio"),IF((G191/F191)&gt;=50%,IF((G191/F191)&gt;=49%,"R. Crítico"),IF(F191=0,"Pendiente",IF(G191=100%,"Terminado",IF(G191=F191,"En Tiempo",IF(G191&lt;F191,"R. Grave",IF(G191&gt;F191,"Adelantado","")))))))))))</f>
        <v>R. Grave</v>
      </c>
    </row>
    <row r="192" spans="1:57" ht="14.25" customHeight="1" x14ac:dyDescent="0.3">
      <c r="A192" s="54" t="s">
        <v>94</v>
      </c>
      <c r="B192" s="40" t="s">
        <v>92</v>
      </c>
      <c r="C192" s="27">
        <f>C191+7</f>
        <v>45152</v>
      </c>
      <c r="D192" s="27">
        <f>C192+70</f>
        <v>45222</v>
      </c>
      <c r="E192" s="45">
        <f t="shared" si="65"/>
        <v>51</v>
      </c>
      <c r="F192" s="46">
        <f t="shared" ca="1" si="66"/>
        <v>1</v>
      </c>
      <c r="G192" s="46">
        <v>0</v>
      </c>
      <c r="H192" s="14" t="str">
        <f t="shared" ca="1" si="67"/>
        <v>R. Grave</v>
      </c>
    </row>
    <row r="193" spans="1:57" ht="14.25" customHeight="1" x14ac:dyDescent="0.3">
      <c r="A193" s="54" t="s">
        <v>95</v>
      </c>
      <c r="B193" s="40" t="s">
        <v>92</v>
      </c>
      <c r="C193" s="27">
        <f>C191</f>
        <v>45145</v>
      </c>
      <c r="D193" s="27">
        <f>D192+14</f>
        <v>45236</v>
      </c>
      <c r="E193" s="45">
        <f t="shared" si="65"/>
        <v>66</v>
      </c>
      <c r="F193" s="46">
        <f t="shared" ca="1" si="66"/>
        <v>1</v>
      </c>
      <c r="G193" s="46">
        <v>0</v>
      </c>
      <c r="H193" s="14" t="str">
        <f t="shared" ca="1" si="67"/>
        <v>R. Grave</v>
      </c>
    </row>
    <row r="194" spans="1:57" ht="14.25" customHeight="1" x14ac:dyDescent="0.3">
      <c r="A194" s="54" t="s">
        <v>96</v>
      </c>
      <c r="B194" s="40" t="s">
        <v>92</v>
      </c>
      <c r="C194" s="27">
        <f>D192</f>
        <v>45222</v>
      </c>
      <c r="D194" s="27">
        <f>C194+14</f>
        <v>45236</v>
      </c>
      <c r="E194" s="45">
        <f t="shared" si="65"/>
        <v>11</v>
      </c>
      <c r="F194" s="46">
        <f t="shared" ca="1" si="66"/>
        <v>1</v>
      </c>
      <c r="G194" s="46">
        <v>0</v>
      </c>
      <c r="H194" s="14" t="str">
        <f t="shared" ca="1" si="67"/>
        <v>R. Grave</v>
      </c>
    </row>
    <row r="195" spans="1:57" ht="14.25" customHeight="1" x14ac:dyDescent="0.3">
      <c r="A195" s="54" t="s">
        <v>97</v>
      </c>
      <c r="B195" s="40" t="s">
        <v>92</v>
      </c>
      <c r="C195" s="27">
        <f>D192</f>
        <v>45222</v>
      </c>
      <c r="D195" s="27">
        <f>C195+14</f>
        <v>45236</v>
      </c>
      <c r="E195" s="45">
        <f t="shared" si="65"/>
        <v>11</v>
      </c>
      <c r="F195" s="46">
        <f t="shared" ca="1" si="66"/>
        <v>1</v>
      </c>
      <c r="G195" s="46">
        <v>0</v>
      </c>
      <c r="H195" s="14" t="str">
        <f t="shared" ca="1" si="67"/>
        <v>R. Grave</v>
      </c>
    </row>
    <row r="196" spans="1:57" ht="14.25" customHeight="1" x14ac:dyDescent="0.3">
      <c r="A196" s="54" t="s">
        <v>98</v>
      </c>
      <c r="B196" s="40" t="s">
        <v>92</v>
      </c>
      <c r="C196" s="27">
        <f>D192</f>
        <v>45222</v>
      </c>
      <c r="D196" s="27">
        <f>C196+7</f>
        <v>45229</v>
      </c>
      <c r="E196" s="45">
        <f t="shared" si="65"/>
        <v>6</v>
      </c>
      <c r="F196" s="46">
        <f t="shared" ca="1" si="66"/>
        <v>1</v>
      </c>
      <c r="G196" s="46">
        <v>0</v>
      </c>
      <c r="H196" s="14" t="str">
        <f t="shared" ca="1" si="67"/>
        <v>R. Grave</v>
      </c>
    </row>
    <row r="197" spans="1:57" ht="14.25" customHeight="1" x14ac:dyDescent="0.3">
      <c r="A197" s="54" t="s">
        <v>99</v>
      </c>
      <c r="B197" s="40" t="s">
        <v>92</v>
      </c>
      <c r="C197" s="27">
        <f>D196</f>
        <v>45229</v>
      </c>
      <c r="D197" s="27">
        <f>C197+7</f>
        <v>45236</v>
      </c>
      <c r="E197" s="45">
        <f t="shared" si="65"/>
        <v>6</v>
      </c>
      <c r="F197" s="46">
        <f t="shared" ca="1" si="66"/>
        <v>1</v>
      </c>
      <c r="G197" s="46">
        <v>0</v>
      </c>
      <c r="H197" s="14" t="str">
        <f t="shared" ca="1" si="67"/>
        <v>R. Grave</v>
      </c>
    </row>
    <row r="198" spans="1:57" ht="14.25" customHeight="1" x14ac:dyDescent="0.3">
      <c r="A198" s="54"/>
      <c r="B198" s="57"/>
      <c r="C198" s="27"/>
      <c r="D198" s="27"/>
      <c r="E198" s="45"/>
      <c r="F198" s="56"/>
      <c r="G198" s="56"/>
      <c r="H198" s="56"/>
    </row>
    <row r="199" spans="1:57" ht="14.25" customHeight="1" x14ac:dyDescent="0.3">
      <c r="A199" s="54" t="s">
        <v>100</v>
      </c>
      <c r="B199" s="57" t="s">
        <v>7</v>
      </c>
      <c r="C199" s="27">
        <f>C191</f>
        <v>45145</v>
      </c>
      <c r="D199" s="27">
        <f>C199</f>
        <v>45145</v>
      </c>
      <c r="E199" s="45">
        <f>+NETWORKDAYS(C199,D199)</f>
        <v>1</v>
      </c>
      <c r="F199" s="46">
        <f ca="1">IF((NETWORKDAYS(C199,TODAY())/E199)&gt;1,1,IF((NETWORKDAYS(C199,TODAY())/E199)&lt;0,0,NETWORKDAYS(C199,TODAY())/E199))</f>
        <v>1</v>
      </c>
      <c r="G199" s="46">
        <v>0</v>
      </c>
      <c r="H199" s="14" t="str">
        <f t="shared" ref="H199:H201" ca="1" si="68">+IF(F199=0,"Pendiente",IF(G199=100%,"Terminado",IF(G199&gt;=F199,"En Tiempo",IF((G199/F199)&gt;=75%,IF((G199/F199)&lt;=99.9%,"R. Leve"),IF((G199/F199)&gt;=50%,IF((G199/F199)&lt;=74%,"R. Medio"),IF((G199/F199)&gt;=50%,IF((G199/F199)&gt;=49%,"R. Crítico"),IF(F199=0,"Pendiente",IF(G199=100%,"Terminado",IF(G199=F199,"En Tiempo",IF(G199&lt;F199,"R. Grave",IF(G199&gt;F199,"Adelantado","")))))))))))</f>
        <v>R. Grave</v>
      </c>
    </row>
    <row r="200" spans="1:57" ht="14.25" customHeight="1" x14ac:dyDescent="0.3">
      <c r="A200" s="54" t="s">
        <v>101</v>
      </c>
      <c r="B200" s="57" t="s">
        <v>7</v>
      </c>
      <c r="C200" s="27">
        <f>D199</f>
        <v>45145</v>
      </c>
      <c r="D200" s="27">
        <f>D193</f>
        <v>45236</v>
      </c>
      <c r="E200" s="45">
        <f>+NETWORKDAYS(C200,D200)</f>
        <v>66</v>
      </c>
      <c r="F200" s="46">
        <f ca="1">IF((NETWORKDAYS(C200,TODAY())/E200)&gt;1,1,IF((NETWORKDAYS(C200,TODAY())/E200)&lt;0,0,NETWORKDAYS(C200,TODAY())/E200))</f>
        <v>1</v>
      </c>
      <c r="G200" s="46">
        <v>0</v>
      </c>
      <c r="H200" s="14" t="str">
        <f t="shared" ca="1" si="68"/>
        <v>R. Grave</v>
      </c>
    </row>
    <row r="201" spans="1:57" ht="14.25" customHeight="1" x14ac:dyDescent="0.3">
      <c r="A201" s="54" t="s">
        <v>102</v>
      </c>
      <c r="B201" s="57" t="s">
        <v>103</v>
      </c>
      <c r="C201" s="27">
        <f>C191</f>
        <v>45145</v>
      </c>
      <c r="D201" s="27">
        <f>D192</f>
        <v>45222</v>
      </c>
      <c r="E201" s="45">
        <f>+NETWORKDAYS(C201,D201)</f>
        <v>56</v>
      </c>
      <c r="F201" s="46">
        <f ca="1">IF((NETWORKDAYS(C201,TODAY())/E201)&gt;1,1,IF((NETWORKDAYS(C201,TODAY())/E201)&lt;0,0,NETWORKDAYS(C201,TODAY())/E201))</f>
        <v>1</v>
      </c>
      <c r="G201" s="46">
        <v>0</v>
      </c>
      <c r="H201" s="14" t="str">
        <f t="shared" ca="1" si="68"/>
        <v>R. Grave</v>
      </c>
    </row>
    <row r="202" spans="1:57" s="25" customFormat="1" ht="14.25" customHeight="1" x14ac:dyDescent="0.3">
      <c r="A202" s="54"/>
      <c r="B202" s="57"/>
      <c r="C202" s="27"/>
      <c r="D202" s="27"/>
      <c r="E202" s="45"/>
      <c r="F202" s="56"/>
      <c r="G202" s="56"/>
      <c r="H202" s="56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</row>
    <row r="203" spans="1:57" s="25" customFormat="1" ht="14.25" customHeight="1" x14ac:dyDescent="0.3">
      <c r="A203" s="54" t="s">
        <v>104</v>
      </c>
      <c r="B203" s="40" t="s">
        <v>105</v>
      </c>
      <c r="C203" s="27">
        <f>C192</f>
        <v>45152</v>
      </c>
      <c r="D203" s="27">
        <f>D192</f>
        <v>45222</v>
      </c>
      <c r="E203" s="45">
        <f>+NETWORKDAYS(C203,D203)</f>
        <v>51</v>
      </c>
      <c r="F203" s="46">
        <f ca="1">IF((NETWORKDAYS(C203,TODAY())/E203)&gt;1,1,IF((NETWORKDAYS(C203,TODAY())/E203)&lt;0,0,NETWORKDAYS(C203,TODAY())/E203))</f>
        <v>1</v>
      </c>
      <c r="G203" s="46">
        <v>0</v>
      </c>
      <c r="H203" s="14" t="str">
        <f t="shared" ref="H203:H204" ca="1" si="69">+IF(F203=0,"Pendiente",IF(G203=100%,"Terminado",IF(G203&gt;=F203,"En Tiempo",IF((G203/F203)&gt;=75%,IF((G203/F203)&lt;=99.9%,"R. Leve"),IF((G203/F203)&gt;=50%,IF((G203/F203)&lt;=74%,"R. Medio"),IF((G203/F203)&gt;=50%,IF((G203/F203)&gt;=49%,"R. Crítico"),IF(F203=0,"Pendiente",IF(G203=100%,"Terminado",IF(G203=F203,"En Tiempo",IF(G203&lt;F203,"R. Grave",IF(G203&gt;F203,"Adelantado","")))))))))))</f>
        <v>R. Grave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</row>
    <row r="204" spans="1:57" s="25" customFormat="1" ht="14.25" customHeight="1" x14ac:dyDescent="0.3">
      <c r="A204" s="54" t="s">
        <v>106</v>
      </c>
      <c r="B204" s="40" t="s">
        <v>105</v>
      </c>
      <c r="C204" s="27">
        <f>D203</f>
        <v>45222</v>
      </c>
      <c r="D204" s="27">
        <f>C204</f>
        <v>45222</v>
      </c>
      <c r="E204" s="45">
        <f>+NETWORKDAYS(C204,D204)</f>
        <v>1</v>
      </c>
      <c r="F204" s="46">
        <f ca="1">IF((NETWORKDAYS(C204,TODAY())/E204)&gt;1,1,IF((NETWORKDAYS(C204,TODAY())/E204)&lt;0,0,NETWORKDAYS(C204,TODAY())/E204))</f>
        <v>1</v>
      </c>
      <c r="G204" s="46">
        <v>0</v>
      </c>
      <c r="H204" s="14" t="str">
        <f t="shared" ca="1" si="69"/>
        <v>R. Grave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</row>
    <row r="205" spans="1:57" s="25" customFormat="1" ht="14.25" customHeight="1" x14ac:dyDescent="0.3">
      <c r="A205" s="54"/>
      <c r="B205" s="57"/>
      <c r="C205" s="27"/>
      <c r="D205" s="27"/>
      <c r="E205" s="28"/>
      <c r="F205" s="56"/>
      <c r="G205" s="56"/>
      <c r="H205" s="56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</row>
    <row r="206" spans="1:57" s="25" customFormat="1" ht="14.25" customHeight="1" x14ac:dyDescent="0.3">
      <c r="A206" s="54" t="s">
        <v>107</v>
      </c>
      <c r="B206" s="40" t="s">
        <v>59</v>
      </c>
      <c r="C206" s="27">
        <f>C196</f>
        <v>45222</v>
      </c>
      <c r="D206" s="27">
        <f>D196</f>
        <v>45229</v>
      </c>
      <c r="E206" s="45">
        <f>+NETWORKDAYS(C206,D206)</f>
        <v>6</v>
      </c>
      <c r="F206" s="46">
        <f ca="1">IF((NETWORKDAYS(C206,TODAY())/E206)&gt;1,1,IF((NETWORKDAYS(C206,TODAY())/E206)&lt;0,0,NETWORKDAYS(C206,TODAY())/E206))</f>
        <v>1</v>
      </c>
      <c r="G206" s="46">
        <v>0</v>
      </c>
      <c r="H206" s="14" t="str">
        <f t="shared" ref="H206:H207" ca="1" si="70">+IF(F206=0,"Pendiente",IF(G206=100%,"Terminado",IF(G206&gt;=F206,"En Tiempo",IF((G206/F206)&gt;=75%,IF((G206/F206)&lt;=99.9%,"R. Leve"),IF((G206/F206)&gt;=50%,IF((G206/F206)&lt;=74%,"R. Medio"),IF((G206/F206)&gt;=50%,IF((G206/F206)&gt;=49%,"R. Crítico"),IF(F206=0,"Pendiente",IF(G206=100%,"Terminado",IF(G206=F206,"En Tiempo",IF(G206&lt;F206,"R. Grave",IF(G206&gt;F206,"Adelantado","")))))))))))</f>
        <v>R. Grave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</row>
    <row r="207" spans="1:57" s="25" customFormat="1" ht="14.25" customHeight="1" x14ac:dyDescent="0.3">
      <c r="A207" s="29" t="s">
        <v>108</v>
      </c>
      <c r="B207" s="40" t="s">
        <v>59</v>
      </c>
      <c r="C207" s="27">
        <f>C206</f>
        <v>45222</v>
      </c>
      <c r="D207" s="27">
        <f>D206</f>
        <v>45229</v>
      </c>
      <c r="E207" s="45">
        <f>+NETWORKDAYS(C207,D207)</f>
        <v>6</v>
      </c>
      <c r="F207" s="46">
        <f ca="1">IF((NETWORKDAYS(C207,TODAY())/E207)&gt;1,1,IF((NETWORKDAYS(C207,TODAY())/E207)&lt;0,0,NETWORKDAYS(C207,TODAY())/E207))</f>
        <v>1</v>
      </c>
      <c r="G207" s="46">
        <v>0</v>
      </c>
      <c r="H207" s="14" t="str">
        <f t="shared" ca="1" si="70"/>
        <v>R. Grave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</row>
    <row r="208" spans="1:57" s="25" customFormat="1" ht="14.25" customHeight="1" x14ac:dyDescent="0.3">
      <c r="A208" s="29"/>
      <c r="B208" s="40"/>
      <c r="C208" s="27"/>
      <c r="D208" s="27"/>
      <c r="E208" s="45"/>
      <c r="F208" s="46"/>
      <c r="G208" s="46"/>
      <c r="H208" s="14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</row>
    <row r="209" spans="1:57" ht="13.95" customHeight="1" x14ac:dyDescent="0.3">
      <c r="A209" s="35" t="s">
        <v>51</v>
      </c>
      <c r="B209" s="57"/>
      <c r="C209" s="41"/>
      <c r="D209" s="41"/>
      <c r="E209" s="42"/>
      <c r="F209" s="43"/>
      <c r="G209" s="43"/>
      <c r="H209" s="56"/>
    </row>
    <row r="210" spans="1:57" ht="14.25" customHeight="1" x14ac:dyDescent="0.3">
      <c r="A210" s="54" t="s">
        <v>93</v>
      </c>
      <c r="B210" s="40" t="s">
        <v>92</v>
      </c>
      <c r="C210" s="77">
        <v>45145</v>
      </c>
      <c r="D210" s="27">
        <f>C210+7</f>
        <v>45152</v>
      </c>
      <c r="E210" s="45">
        <f t="shared" ref="E210:E216" si="71">+NETWORKDAYS(C210,D210)</f>
        <v>6</v>
      </c>
      <c r="F210" s="46">
        <f t="shared" ref="F210:F216" ca="1" si="72">IF((NETWORKDAYS(C210,TODAY())/E210)&gt;1,1,IF((NETWORKDAYS(C210,TODAY())/E210)&lt;0,0,NETWORKDAYS(C210,TODAY())/E210))</f>
        <v>1</v>
      </c>
      <c r="G210" s="46">
        <v>0</v>
      </c>
      <c r="H210" s="14" t="str">
        <f t="shared" ref="H210:H216" ca="1" si="73">+IF(F210=0,"Pendiente",IF(G210=100%,"Terminado",IF(G210&gt;=F210,"En Tiempo",IF((G210/F210)&gt;=75%,IF((G210/F210)&lt;=99.9%,"R. Leve"),IF((G210/F210)&gt;=50%,IF((G210/F210)&lt;=74%,"R. Medio"),IF((G210/F210)&gt;=50%,IF((G210/F210)&gt;=49%,"R. Crítico"),IF(F210=0,"Pendiente",IF(G210=100%,"Terminado",IF(G210=F210,"En Tiempo",IF(G210&lt;F210,"R. Grave",IF(G210&gt;F210,"Adelantado","")))))))))))</f>
        <v>R. Grave</v>
      </c>
    </row>
    <row r="211" spans="1:57" ht="14.25" customHeight="1" x14ac:dyDescent="0.3">
      <c r="A211" s="54" t="s">
        <v>94</v>
      </c>
      <c r="B211" s="40" t="s">
        <v>92</v>
      </c>
      <c r="C211" s="27">
        <f>C210+7</f>
        <v>45152</v>
      </c>
      <c r="D211" s="27">
        <f>C211+70</f>
        <v>45222</v>
      </c>
      <c r="E211" s="45">
        <f t="shared" si="71"/>
        <v>51</v>
      </c>
      <c r="F211" s="46">
        <f t="shared" ca="1" si="72"/>
        <v>1</v>
      </c>
      <c r="G211" s="46">
        <v>0</v>
      </c>
      <c r="H211" s="14" t="str">
        <f t="shared" ca="1" si="73"/>
        <v>R. Grave</v>
      </c>
    </row>
    <row r="212" spans="1:57" ht="14.25" customHeight="1" x14ac:dyDescent="0.3">
      <c r="A212" s="54" t="s">
        <v>95</v>
      </c>
      <c r="B212" s="40" t="s">
        <v>92</v>
      </c>
      <c r="C212" s="27">
        <f>C210</f>
        <v>45145</v>
      </c>
      <c r="D212" s="27">
        <f>D211+14</f>
        <v>45236</v>
      </c>
      <c r="E212" s="45">
        <f t="shared" si="71"/>
        <v>66</v>
      </c>
      <c r="F212" s="46">
        <f t="shared" ca="1" si="72"/>
        <v>1</v>
      </c>
      <c r="G212" s="46">
        <v>0</v>
      </c>
      <c r="H212" s="14" t="str">
        <f t="shared" ca="1" si="73"/>
        <v>R. Grave</v>
      </c>
    </row>
    <row r="213" spans="1:57" ht="14.25" customHeight="1" x14ac:dyDescent="0.3">
      <c r="A213" s="54" t="s">
        <v>96</v>
      </c>
      <c r="B213" s="40" t="s">
        <v>92</v>
      </c>
      <c r="C213" s="27">
        <f>D211</f>
        <v>45222</v>
      </c>
      <c r="D213" s="27">
        <f>C213+14</f>
        <v>45236</v>
      </c>
      <c r="E213" s="45">
        <f t="shared" si="71"/>
        <v>11</v>
      </c>
      <c r="F213" s="46">
        <f t="shared" ca="1" si="72"/>
        <v>1</v>
      </c>
      <c r="G213" s="46">
        <v>0</v>
      </c>
      <c r="H213" s="14" t="str">
        <f t="shared" ca="1" si="73"/>
        <v>R. Grave</v>
      </c>
    </row>
    <row r="214" spans="1:57" ht="14.25" customHeight="1" x14ac:dyDescent="0.3">
      <c r="A214" s="54" t="s">
        <v>97</v>
      </c>
      <c r="B214" s="40" t="s">
        <v>92</v>
      </c>
      <c r="C214" s="27">
        <f>D211</f>
        <v>45222</v>
      </c>
      <c r="D214" s="27">
        <f>C214+14</f>
        <v>45236</v>
      </c>
      <c r="E214" s="45">
        <f t="shared" si="71"/>
        <v>11</v>
      </c>
      <c r="F214" s="46">
        <f t="shared" ca="1" si="72"/>
        <v>1</v>
      </c>
      <c r="G214" s="46">
        <v>0</v>
      </c>
      <c r="H214" s="14" t="str">
        <f t="shared" ca="1" si="73"/>
        <v>R. Grave</v>
      </c>
    </row>
    <row r="215" spans="1:57" ht="14.25" customHeight="1" x14ac:dyDescent="0.3">
      <c r="A215" s="54" t="s">
        <v>98</v>
      </c>
      <c r="B215" s="40" t="s">
        <v>92</v>
      </c>
      <c r="C215" s="27">
        <f>D211</f>
        <v>45222</v>
      </c>
      <c r="D215" s="27">
        <f>C215+7</f>
        <v>45229</v>
      </c>
      <c r="E215" s="45">
        <f t="shared" si="71"/>
        <v>6</v>
      </c>
      <c r="F215" s="46">
        <f t="shared" ca="1" si="72"/>
        <v>1</v>
      </c>
      <c r="G215" s="46">
        <v>0</v>
      </c>
      <c r="H215" s="14" t="str">
        <f t="shared" ca="1" si="73"/>
        <v>R. Grave</v>
      </c>
    </row>
    <row r="216" spans="1:57" ht="14.25" customHeight="1" x14ac:dyDescent="0.3">
      <c r="A216" s="54" t="s">
        <v>99</v>
      </c>
      <c r="B216" s="40" t="s">
        <v>92</v>
      </c>
      <c r="C216" s="27">
        <f>D215</f>
        <v>45229</v>
      </c>
      <c r="D216" s="27">
        <f>C216+7</f>
        <v>45236</v>
      </c>
      <c r="E216" s="45">
        <f t="shared" si="71"/>
        <v>6</v>
      </c>
      <c r="F216" s="46">
        <f t="shared" ca="1" si="72"/>
        <v>1</v>
      </c>
      <c r="G216" s="46">
        <v>0</v>
      </c>
      <c r="H216" s="14" t="str">
        <f t="shared" ca="1" si="73"/>
        <v>R. Grave</v>
      </c>
    </row>
    <row r="217" spans="1:57" ht="14.25" customHeight="1" x14ac:dyDescent="0.3">
      <c r="A217" s="54"/>
      <c r="B217" s="57"/>
      <c r="C217" s="27"/>
      <c r="D217" s="27"/>
      <c r="E217" s="45"/>
      <c r="F217" s="56"/>
      <c r="G217" s="56"/>
      <c r="H217" s="56"/>
    </row>
    <row r="218" spans="1:57" ht="14.25" customHeight="1" x14ac:dyDescent="0.3">
      <c r="A218" s="54" t="s">
        <v>100</v>
      </c>
      <c r="B218" s="57" t="s">
        <v>7</v>
      </c>
      <c r="C218" s="27">
        <f>C210</f>
        <v>45145</v>
      </c>
      <c r="D218" s="27">
        <f>C218</f>
        <v>45145</v>
      </c>
      <c r="E218" s="45">
        <f>+NETWORKDAYS(C218,D218)</f>
        <v>1</v>
      </c>
      <c r="F218" s="46">
        <f ca="1">IF((NETWORKDAYS(C218,TODAY())/E218)&gt;1,1,IF((NETWORKDAYS(C218,TODAY())/E218)&lt;0,0,NETWORKDAYS(C218,TODAY())/E218))</f>
        <v>1</v>
      </c>
      <c r="G218" s="46">
        <v>0</v>
      </c>
      <c r="H218" s="14" t="str">
        <f t="shared" ref="H218:H220" ca="1" si="74">+IF(F218=0,"Pendiente",IF(G218=100%,"Terminado",IF(G218&gt;=F218,"En Tiempo",IF((G218/F218)&gt;=75%,IF((G218/F218)&lt;=99.9%,"R. Leve"),IF((G218/F218)&gt;=50%,IF((G218/F218)&lt;=74%,"R. Medio"),IF((G218/F218)&gt;=50%,IF((G218/F218)&gt;=49%,"R. Crítico"),IF(F218=0,"Pendiente",IF(G218=100%,"Terminado",IF(G218=F218,"En Tiempo",IF(G218&lt;F218,"R. Grave",IF(G218&gt;F218,"Adelantado","")))))))))))</f>
        <v>R. Grave</v>
      </c>
    </row>
    <row r="219" spans="1:57" ht="14.25" customHeight="1" x14ac:dyDescent="0.3">
      <c r="A219" s="54" t="s">
        <v>101</v>
      </c>
      <c r="B219" s="57" t="s">
        <v>7</v>
      </c>
      <c r="C219" s="27">
        <f>D218</f>
        <v>45145</v>
      </c>
      <c r="D219" s="27">
        <f>D212</f>
        <v>45236</v>
      </c>
      <c r="E219" s="45">
        <f>+NETWORKDAYS(C219,D219)</f>
        <v>66</v>
      </c>
      <c r="F219" s="46">
        <f ca="1">IF((NETWORKDAYS(C219,TODAY())/E219)&gt;1,1,IF((NETWORKDAYS(C219,TODAY())/E219)&lt;0,0,NETWORKDAYS(C219,TODAY())/E219))</f>
        <v>1</v>
      </c>
      <c r="G219" s="46">
        <v>0</v>
      </c>
      <c r="H219" s="14" t="str">
        <f t="shared" ca="1" si="74"/>
        <v>R. Grave</v>
      </c>
    </row>
    <row r="220" spans="1:57" ht="14.25" customHeight="1" x14ac:dyDescent="0.3">
      <c r="A220" s="54" t="s">
        <v>102</v>
      </c>
      <c r="B220" s="57" t="s">
        <v>103</v>
      </c>
      <c r="C220" s="27">
        <f>C210</f>
        <v>45145</v>
      </c>
      <c r="D220" s="27">
        <f>D211</f>
        <v>45222</v>
      </c>
      <c r="E220" s="45">
        <f>+NETWORKDAYS(C220,D220)</f>
        <v>56</v>
      </c>
      <c r="F220" s="46">
        <f ca="1">IF((NETWORKDAYS(C220,TODAY())/E220)&gt;1,1,IF((NETWORKDAYS(C220,TODAY())/E220)&lt;0,0,NETWORKDAYS(C220,TODAY())/E220))</f>
        <v>1</v>
      </c>
      <c r="G220" s="46">
        <v>0</v>
      </c>
      <c r="H220" s="14" t="str">
        <f t="shared" ca="1" si="74"/>
        <v>R. Grave</v>
      </c>
    </row>
    <row r="221" spans="1:57" s="25" customFormat="1" ht="14.25" customHeight="1" x14ac:dyDescent="0.3">
      <c r="A221" s="54"/>
      <c r="B221" s="57"/>
      <c r="C221" s="27"/>
      <c r="D221" s="27"/>
      <c r="E221" s="45"/>
      <c r="F221" s="56"/>
      <c r="G221" s="56"/>
      <c r="H221" s="56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</row>
    <row r="222" spans="1:57" s="25" customFormat="1" ht="14.25" customHeight="1" x14ac:dyDescent="0.3">
      <c r="A222" s="54" t="s">
        <v>104</v>
      </c>
      <c r="B222" s="40" t="s">
        <v>105</v>
      </c>
      <c r="C222" s="27">
        <f>C211</f>
        <v>45152</v>
      </c>
      <c r="D222" s="27">
        <f>D211</f>
        <v>45222</v>
      </c>
      <c r="E222" s="45">
        <f>+NETWORKDAYS(C222,D222)</f>
        <v>51</v>
      </c>
      <c r="F222" s="46">
        <f ca="1">IF((NETWORKDAYS(C222,TODAY())/E222)&gt;1,1,IF((NETWORKDAYS(C222,TODAY())/E222)&lt;0,0,NETWORKDAYS(C222,TODAY())/E222))</f>
        <v>1</v>
      </c>
      <c r="G222" s="46">
        <v>0</v>
      </c>
      <c r="H222" s="14" t="str">
        <f t="shared" ref="H222:H223" ca="1" si="75">+IF(F222=0,"Pendiente",IF(G222=100%,"Terminado",IF(G222&gt;=F222,"En Tiempo",IF((G222/F222)&gt;=75%,IF((G222/F222)&lt;=99.9%,"R. Leve"),IF((G222/F222)&gt;=50%,IF((G222/F222)&lt;=74%,"R. Medio"),IF((G222/F222)&gt;=50%,IF((G222/F222)&gt;=49%,"R. Crítico"),IF(F222=0,"Pendiente",IF(G222=100%,"Terminado",IF(G222=F222,"En Tiempo",IF(G222&lt;F222,"R. Grave",IF(G222&gt;F222,"Adelantado","")))))))))))</f>
        <v>R. Grave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</row>
    <row r="223" spans="1:57" s="25" customFormat="1" ht="14.25" customHeight="1" x14ac:dyDescent="0.3">
      <c r="A223" s="54" t="s">
        <v>106</v>
      </c>
      <c r="B223" s="40" t="s">
        <v>105</v>
      </c>
      <c r="C223" s="27">
        <f>D222</f>
        <v>45222</v>
      </c>
      <c r="D223" s="27">
        <f>C223</f>
        <v>45222</v>
      </c>
      <c r="E223" s="45">
        <f>+NETWORKDAYS(C223,D223)</f>
        <v>1</v>
      </c>
      <c r="F223" s="46">
        <f ca="1">IF((NETWORKDAYS(C223,TODAY())/E223)&gt;1,1,IF((NETWORKDAYS(C223,TODAY())/E223)&lt;0,0,NETWORKDAYS(C223,TODAY())/E223))</f>
        <v>1</v>
      </c>
      <c r="G223" s="46">
        <v>0</v>
      </c>
      <c r="H223" s="14" t="str">
        <f t="shared" ca="1" si="75"/>
        <v>R. Grave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</row>
    <row r="224" spans="1:57" s="25" customFormat="1" ht="14.25" customHeight="1" x14ac:dyDescent="0.3">
      <c r="A224" s="54"/>
      <c r="B224" s="57"/>
      <c r="C224" s="27"/>
      <c r="D224" s="27"/>
      <c r="E224" s="28"/>
      <c r="F224" s="56"/>
      <c r="G224" s="56"/>
      <c r="H224" s="56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</row>
    <row r="225" spans="1:57" s="25" customFormat="1" ht="14.25" customHeight="1" x14ac:dyDescent="0.3">
      <c r="A225" s="54" t="s">
        <v>107</v>
      </c>
      <c r="B225" s="40" t="s">
        <v>59</v>
      </c>
      <c r="C225" s="27">
        <f>C215</f>
        <v>45222</v>
      </c>
      <c r="D225" s="27">
        <f>D215</f>
        <v>45229</v>
      </c>
      <c r="E225" s="45">
        <f>+NETWORKDAYS(C225,D225)</f>
        <v>6</v>
      </c>
      <c r="F225" s="46">
        <f ca="1">IF((NETWORKDAYS(C225,TODAY())/E225)&gt;1,1,IF((NETWORKDAYS(C225,TODAY())/E225)&lt;0,0,NETWORKDAYS(C225,TODAY())/E225))</f>
        <v>1</v>
      </c>
      <c r="G225" s="46">
        <v>0</v>
      </c>
      <c r="H225" s="14" t="str">
        <f t="shared" ref="H225:H226" ca="1" si="76">+IF(F225=0,"Pendiente",IF(G225=100%,"Terminado",IF(G225&gt;=F225,"En Tiempo",IF((G225/F225)&gt;=75%,IF((G225/F225)&lt;=99.9%,"R. Leve"),IF((G225/F225)&gt;=50%,IF((G225/F225)&lt;=74%,"R. Medio"),IF((G225/F225)&gt;=50%,IF((G225/F225)&gt;=49%,"R. Crítico"),IF(F225=0,"Pendiente",IF(G225=100%,"Terminado",IF(G225=F225,"En Tiempo",IF(G225&lt;F225,"R. Grave",IF(G225&gt;F225,"Adelantado","")))))))))))</f>
        <v>R. Grave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</row>
    <row r="226" spans="1:57" s="25" customFormat="1" ht="14.25" customHeight="1" x14ac:dyDescent="0.3">
      <c r="A226" s="29" t="s">
        <v>108</v>
      </c>
      <c r="B226" s="40" t="s">
        <v>59</v>
      </c>
      <c r="C226" s="27">
        <f>C225</f>
        <v>45222</v>
      </c>
      <c r="D226" s="27">
        <f>D225</f>
        <v>45229</v>
      </c>
      <c r="E226" s="45">
        <f>+NETWORKDAYS(C226,D226)</f>
        <v>6</v>
      </c>
      <c r="F226" s="46">
        <f ca="1">IF((NETWORKDAYS(C226,TODAY())/E226)&gt;1,1,IF((NETWORKDAYS(C226,TODAY())/E226)&lt;0,0,NETWORKDAYS(C226,TODAY())/E226))</f>
        <v>1</v>
      </c>
      <c r="G226" s="46">
        <v>0</v>
      </c>
      <c r="H226" s="14" t="str">
        <f t="shared" ca="1" si="76"/>
        <v>R. Grave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</row>
    <row r="227" spans="1:57" s="25" customFormat="1" ht="14.25" customHeight="1" x14ac:dyDescent="0.3">
      <c r="A227" s="54"/>
      <c r="B227" s="57"/>
      <c r="C227" s="27"/>
      <c r="D227" s="27"/>
      <c r="E227" s="28"/>
      <c r="F227" s="56"/>
      <c r="G227" s="56"/>
      <c r="H227" s="56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</row>
    <row r="228" spans="1:57" s="25" customFormat="1" ht="23.4" x14ac:dyDescent="0.3">
      <c r="A228" s="32" t="s">
        <v>109</v>
      </c>
      <c r="B228" s="33" t="s">
        <v>85</v>
      </c>
      <c r="C228" s="34">
        <f>MIN(C230:C289)</f>
        <v>45145</v>
      </c>
      <c r="D228" s="34">
        <f>MAX(D230:D289)</f>
        <v>45244</v>
      </c>
      <c r="E228" s="71">
        <f>+NETWORKDAYS(C228,D228)</f>
        <v>72</v>
      </c>
      <c r="F228" s="72">
        <f ca="1">IF((NETWORKDAYS(C228,TODAY())/E228)&gt;1,1,IF((NETWORKDAYS(C228,TODAY())/E228)&lt;0,0,NETWORKDAYS(C228,TODAY())/E228))</f>
        <v>1</v>
      </c>
      <c r="G228" s="72">
        <f ca="1">IFERROR(F228*(G229/F229),0)</f>
        <v>0</v>
      </c>
      <c r="H228" s="73" t="str">
        <f t="shared" ref="H228" ca="1" si="77">+IF(F228=0,"Pendiente",IF(G228=100%,"Terminado",IF(G228&gt;=F228,"En Tiempo",IF((G228/F228)&gt;=75%,IF((G228/F228)&lt;=99.9%,"R. Leve"),IF((G228/F228)&gt;=50%,IF((G228/F228)&lt;=74%,"R. Medio"),IF((G228/F228)&gt;=50%,IF((G228/F228)&gt;=49%,"R. Crítico"),IF(F228=0,"Pendiente",IF(G228=100%,"Terminado",IF(G228=F228,"En Tiempo",IF(G228&lt;F228,"R. Grave",IF(G228&gt;F228,"Adelantado","")))))))))))</f>
        <v>R. Grave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</row>
    <row r="229" spans="1:57" s="25" customFormat="1" ht="14.4" customHeight="1" x14ac:dyDescent="0.3">
      <c r="A229" s="32"/>
      <c r="B229" s="34"/>
      <c r="C229" s="34"/>
      <c r="D229" s="34"/>
      <c r="E229" s="75" t="s">
        <v>33</v>
      </c>
      <c r="F229" s="74">
        <f ca="1">AVERAGE(F230:F289)</f>
        <v>1</v>
      </c>
      <c r="G229" s="74">
        <f>AVERAGE(G230:G289)</f>
        <v>0</v>
      </c>
      <c r="H229" s="73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</row>
    <row r="230" spans="1:57" ht="13.95" customHeight="1" x14ac:dyDescent="0.3">
      <c r="A230" s="35" t="s">
        <v>32</v>
      </c>
      <c r="B230" s="57"/>
      <c r="C230" s="41"/>
      <c r="D230" s="41"/>
      <c r="E230" s="42"/>
      <c r="F230" s="43"/>
      <c r="G230" s="43"/>
      <c r="H230" s="56"/>
    </row>
    <row r="231" spans="1:57" s="25" customFormat="1" ht="14.25" customHeight="1" x14ac:dyDescent="0.3">
      <c r="A231" s="54"/>
      <c r="B231" s="57"/>
      <c r="C231" s="41"/>
      <c r="D231" s="41"/>
      <c r="E231" s="42"/>
      <c r="F231" s="43"/>
      <c r="G231" s="43"/>
      <c r="H231" s="56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</row>
    <row r="232" spans="1:57" s="25" customFormat="1" ht="14.25" customHeight="1" x14ac:dyDescent="0.3">
      <c r="A232" s="54" t="s">
        <v>110</v>
      </c>
      <c r="B232" s="40" t="s">
        <v>59</v>
      </c>
      <c r="C232" s="27">
        <f>C172</f>
        <v>45187</v>
      </c>
      <c r="D232" s="27">
        <f>D178</f>
        <v>45244</v>
      </c>
      <c r="E232" s="45">
        <f>+NETWORKDAYS(C232,D232)</f>
        <v>42</v>
      </c>
      <c r="F232" s="46">
        <f ca="1">IF((NETWORKDAYS(C232,TODAY())/E232)&gt;1,1,IF((NETWORKDAYS(C232,TODAY())/E232)&lt;0,0,NETWORKDAYS(C232,TODAY())/E232))</f>
        <v>1</v>
      </c>
      <c r="G232" s="46">
        <v>0</v>
      </c>
      <c r="H232" s="14" t="str">
        <f t="shared" ref="H232:H234" ca="1" si="78">+IF(F232=0,"Pendiente",IF(G232=100%,"Terminado",IF(G232&gt;=F232,"En Tiempo",IF((G232/F232)&gt;=75%,IF((G232/F232)&lt;=99.9%,"R. Leve"),IF((G232/F232)&gt;=50%,IF((G232/F232)&lt;=74%,"R. Medio"),IF((G232/F232)&gt;=50%,IF((G232/F232)&gt;=49%,"R. Crítico"),IF(F232=0,"Pendiente",IF(G232=100%,"Terminado",IF(G232=F232,"En Tiempo",IF(G232&lt;F232,"R. Grave",IF(G232&gt;F232,"Adelantado","")))))))))))</f>
        <v>R. Grave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</row>
    <row r="233" spans="1:57" s="25" customFormat="1" ht="14.25" customHeight="1" x14ac:dyDescent="0.3">
      <c r="A233" s="54" t="s">
        <v>111</v>
      </c>
      <c r="B233" s="40" t="s">
        <v>59</v>
      </c>
      <c r="C233" s="27">
        <f>$C$232</f>
        <v>45187</v>
      </c>
      <c r="D233" s="27">
        <f>$D$232</f>
        <v>45244</v>
      </c>
      <c r="E233" s="45">
        <f>+NETWORKDAYS(C233,D233)</f>
        <v>42</v>
      </c>
      <c r="F233" s="46">
        <f ca="1">IF((NETWORKDAYS(C233,TODAY())/E233)&gt;1,1,IF((NETWORKDAYS(C233,TODAY())/E233)&lt;0,0,NETWORKDAYS(C233,TODAY())/E233))</f>
        <v>1</v>
      </c>
      <c r="G233" s="46">
        <v>0</v>
      </c>
      <c r="H233" s="14" t="str">
        <f t="shared" ca="1" si="78"/>
        <v>R. Grave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</row>
    <row r="234" spans="1:57" s="25" customFormat="1" ht="14.25" customHeight="1" x14ac:dyDescent="0.3">
      <c r="A234" s="54" t="s">
        <v>112</v>
      </c>
      <c r="B234" s="40" t="s">
        <v>59</v>
      </c>
      <c r="C234" s="27">
        <f>$C$232</f>
        <v>45187</v>
      </c>
      <c r="D234" s="27">
        <f>$D$232</f>
        <v>45244</v>
      </c>
      <c r="E234" s="45">
        <f>+NETWORKDAYS(C234,D234)</f>
        <v>42</v>
      </c>
      <c r="F234" s="46">
        <f ca="1">IF((NETWORKDAYS(C234,TODAY())/E234)&gt;1,1,IF((NETWORKDAYS(C234,TODAY())/E234)&lt;0,0,NETWORKDAYS(C234,TODAY())/E234))</f>
        <v>1</v>
      </c>
      <c r="G234" s="46">
        <v>0</v>
      </c>
      <c r="H234" s="14" t="str">
        <f t="shared" ca="1" si="78"/>
        <v>R. Grave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</row>
    <row r="235" spans="1:57" s="25" customFormat="1" ht="14.25" customHeight="1" x14ac:dyDescent="0.3">
      <c r="A235" s="54"/>
      <c r="B235" s="57"/>
      <c r="C235" s="27"/>
      <c r="D235" s="27"/>
      <c r="E235" s="28"/>
      <c r="F235" s="56"/>
      <c r="G235" s="56"/>
      <c r="H235" s="56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</row>
    <row r="236" spans="1:57" s="25" customFormat="1" ht="14.25" customHeight="1" x14ac:dyDescent="0.3">
      <c r="A236" s="54" t="s">
        <v>113</v>
      </c>
      <c r="B236" s="57" t="s">
        <v>61</v>
      </c>
      <c r="C236" s="27">
        <f t="shared" ref="C236:C237" si="79">$C$232</f>
        <v>45187</v>
      </c>
      <c r="D236" s="27">
        <f t="shared" ref="D236:D237" si="80">$D$232</f>
        <v>45244</v>
      </c>
      <c r="E236" s="45">
        <f>+NETWORKDAYS(C236,D236)</f>
        <v>42</v>
      </c>
      <c r="F236" s="46">
        <f ca="1">IF((NETWORKDAYS(C236,TODAY())/E236)&gt;1,1,IF((NETWORKDAYS(C236,TODAY())/E236)&lt;0,0,NETWORKDAYS(C236,TODAY())/E236))</f>
        <v>1</v>
      </c>
      <c r="G236" s="46">
        <v>0</v>
      </c>
      <c r="H236" s="14" t="str">
        <f t="shared" ref="H236:H248" ca="1" si="81">+IF(F236=0,"Pendiente",IF(G236=100%,"Terminado",IF(G236&gt;=F236,"En Tiempo",IF((G236/F236)&gt;=75%,IF((G236/F236)&lt;=99.9%,"R. Leve"),IF((G236/F236)&gt;=50%,IF((G236/F236)&lt;=74%,"R. Medio"),IF((G236/F236)&gt;=50%,IF((G236/F236)&gt;=49%,"R. Crítico"),IF(F236=0,"Pendiente",IF(G236=100%,"Terminado",IF(G236=F236,"En Tiempo",IF(G236&lt;F236,"R. Grave",IF(G236&gt;F236,"Adelantado","")))))))))))</f>
        <v>R. Grave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</row>
    <row r="237" spans="1:57" s="25" customFormat="1" ht="14.25" customHeight="1" x14ac:dyDescent="0.3">
      <c r="A237" s="54" t="s">
        <v>114</v>
      </c>
      <c r="B237" s="57" t="s">
        <v>61</v>
      </c>
      <c r="C237" s="27">
        <f t="shared" si="79"/>
        <v>45187</v>
      </c>
      <c r="D237" s="27">
        <f t="shared" si="80"/>
        <v>45244</v>
      </c>
      <c r="E237" s="45">
        <f>+NETWORKDAYS(C237,D237)</f>
        <v>42</v>
      </c>
      <c r="F237" s="46">
        <f ca="1">IF((NETWORKDAYS(C237,TODAY())/E237)&gt;1,1,IF((NETWORKDAYS(C237,TODAY())/E237)&lt;0,0,NETWORKDAYS(C237,TODAY())/E237))</f>
        <v>1</v>
      </c>
      <c r="G237" s="46">
        <v>0</v>
      </c>
      <c r="H237" s="14" t="str">
        <f t="shared" ca="1" si="81"/>
        <v>R. Grave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</row>
    <row r="238" spans="1:57" s="25" customFormat="1" ht="14.25" customHeight="1" x14ac:dyDescent="0.3">
      <c r="A238" s="54"/>
      <c r="B238" s="57"/>
      <c r="C238" s="27"/>
      <c r="D238" s="27"/>
      <c r="E238" s="45"/>
      <c r="F238" s="56"/>
      <c r="G238" s="56"/>
      <c r="H238" s="56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</row>
    <row r="239" spans="1:57" s="25" customFormat="1" ht="14.25" customHeight="1" x14ac:dyDescent="0.3">
      <c r="A239" s="54" t="s">
        <v>115</v>
      </c>
      <c r="B239" s="57" t="s">
        <v>116</v>
      </c>
      <c r="C239" s="27">
        <f t="shared" ref="C239:C240" si="82">$C$232</f>
        <v>45187</v>
      </c>
      <c r="D239" s="27">
        <f t="shared" ref="D239:D240" si="83">$D$232</f>
        <v>45244</v>
      </c>
      <c r="E239" s="45">
        <f>+NETWORKDAYS(C239,D239)</f>
        <v>42</v>
      </c>
      <c r="F239" s="46">
        <f ca="1">IF((NETWORKDAYS(C239,TODAY())/E239)&gt;1,1,IF((NETWORKDAYS(C239,TODAY())/E239)&lt;0,0,NETWORKDAYS(C239,TODAY())/E239))</f>
        <v>1</v>
      </c>
      <c r="G239" s="46">
        <v>0</v>
      </c>
      <c r="H239" s="14" t="str">
        <f t="shared" ca="1" si="81"/>
        <v>R. Grave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</row>
    <row r="240" spans="1:57" s="25" customFormat="1" ht="14.25" customHeight="1" x14ac:dyDescent="0.3">
      <c r="A240" s="54" t="s">
        <v>117</v>
      </c>
      <c r="B240" s="57" t="s">
        <v>116</v>
      </c>
      <c r="C240" s="27">
        <f t="shared" si="82"/>
        <v>45187</v>
      </c>
      <c r="D240" s="27">
        <f t="shared" si="83"/>
        <v>45244</v>
      </c>
      <c r="E240" s="45">
        <f>+NETWORKDAYS(C240,D240)</f>
        <v>42</v>
      </c>
      <c r="F240" s="46">
        <f ca="1">IF((NETWORKDAYS(C240,TODAY())/E240)&gt;1,1,IF((NETWORKDAYS(C240,TODAY())/E240)&lt;0,0,NETWORKDAYS(C240,TODAY())/E240))</f>
        <v>1</v>
      </c>
      <c r="G240" s="46">
        <v>0</v>
      </c>
      <c r="H240" s="14" t="str">
        <f t="shared" ca="1" si="81"/>
        <v>R. Grave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</row>
    <row r="241" spans="1:57" s="25" customFormat="1" ht="14.25" customHeight="1" x14ac:dyDescent="0.3">
      <c r="A241" s="54"/>
      <c r="B241" s="57"/>
      <c r="C241" s="27"/>
      <c r="D241" s="27"/>
      <c r="E241" s="28"/>
      <c r="F241" s="56"/>
      <c r="G241" s="56"/>
      <c r="H241" s="56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</row>
    <row r="242" spans="1:57" s="25" customFormat="1" ht="14.25" customHeight="1" x14ac:dyDescent="0.3">
      <c r="A242" s="54" t="s">
        <v>118</v>
      </c>
      <c r="B242" s="57" t="s">
        <v>11</v>
      </c>
      <c r="C242" s="27">
        <f t="shared" ref="C242:C243" si="84">$C$232</f>
        <v>45187</v>
      </c>
      <c r="D242" s="27">
        <f t="shared" ref="D242:D243" si="85">$D$232</f>
        <v>45244</v>
      </c>
      <c r="E242" s="45">
        <f>+NETWORKDAYS(C242,D242)</f>
        <v>42</v>
      </c>
      <c r="F242" s="46">
        <f ca="1">IF((NETWORKDAYS(C242,TODAY())/E242)&gt;1,1,IF((NETWORKDAYS(C242,TODAY())/E242)&lt;0,0,NETWORKDAYS(C242,TODAY())/E242))</f>
        <v>1</v>
      </c>
      <c r="G242" s="46">
        <v>0</v>
      </c>
      <c r="H242" s="14" t="str">
        <f t="shared" ca="1" si="81"/>
        <v>R. Grave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</row>
    <row r="243" spans="1:57" s="25" customFormat="1" ht="14.25" customHeight="1" x14ac:dyDescent="0.3">
      <c r="A243" s="29" t="s">
        <v>119</v>
      </c>
      <c r="B243" s="40" t="s">
        <v>11</v>
      </c>
      <c r="C243" s="27">
        <f t="shared" si="84"/>
        <v>45187</v>
      </c>
      <c r="D243" s="27">
        <f t="shared" si="85"/>
        <v>45244</v>
      </c>
      <c r="E243" s="45">
        <f>+NETWORKDAYS(C243,D243)</f>
        <v>42</v>
      </c>
      <c r="F243" s="46">
        <f ca="1">IF((NETWORKDAYS(C243,TODAY())/E243)&gt;1,1,IF((NETWORKDAYS(C243,TODAY())/E243)&lt;0,0,NETWORKDAYS(C243,TODAY())/E243))</f>
        <v>1</v>
      </c>
      <c r="G243" s="46">
        <v>0</v>
      </c>
      <c r="H243" s="14" t="str">
        <f t="shared" ca="1" si="81"/>
        <v>R. Grave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</row>
    <row r="244" spans="1:57" s="25" customFormat="1" ht="14.25" customHeight="1" x14ac:dyDescent="0.3">
      <c r="A244" s="54"/>
      <c r="B244" s="57"/>
      <c r="C244" s="27"/>
      <c r="D244" s="27"/>
      <c r="E244" s="45"/>
      <c r="F244" s="56"/>
      <c r="G244" s="56"/>
      <c r="H244" s="56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</row>
    <row r="245" spans="1:57" s="25" customFormat="1" ht="14.25" customHeight="1" x14ac:dyDescent="0.3">
      <c r="A245" s="54" t="s">
        <v>120</v>
      </c>
      <c r="B245" s="57" t="s">
        <v>85</v>
      </c>
      <c r="C245" s="27">
        <f t="shared" ref="C245:C248" si="86">$C$232</f>
        <v>45187</v>
      </c>
      <c r="D245" s="27">
        <f t="shared" ref="D245:D248" si="87">$D$232</f>
        <v>45244</v>
      </c>
      <c r="E245" s="45">
        <f>+NETWORKDAYS(C245,D245)</f>
        <v>42</v>
      </c>
      <c r="F245" s="46">
        <f ca="1">IF((NETWORKDAYS(C245,TODAY())/E245)&gt;1,1,IF((NETWORKDAYS(C245,TODAY())/E245)&lt;0,0,NETWORKDAYS(C245,TODAY())/E245))</f>
        <v>1</v>
      </c>
      <c r="G245" s="46">
        <v>0</v>
      </c>
      <c r="H245" s="14" t="str">
        <f t="shared" ca="1" si="81"/>
        <v>R. Grave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</row>
    <row r="246" spans="1:57" s="25" customFormat="1" ht="14.25" customHeight="1" x14ac:dyDescent="0.3">
      <c r="A246" s="54" t="s">
        <v>121</v>
      </c>
      <c r="B246" s="57" t="s">
        <v>85</v>
      </c>
      <c r="C246" s="27">
        <f t="shared" si="86"/>
        <v>45187</v>
      </c>
      <c r="D246" s="27">
        <f t="shared" si="87"/>
        <v>45244</v>
      </c>
      <c r="E246" s="45">
        <f>+NETWORKDAYS(C246,D246)</f>
        <v>42</v>
      </c>
      <c r="F246" s="46">
        <f ca="1">IF((NETWORKDAYS(C246,TODAY())/E246)&gt;1,1,IF((NETWORKDAYS(C246,TODAY())/E246)&lt;0,0,NETWORKDAYS(C246,TODAY())/E246))</f>
        <v>1</v>
      </c>
      <c r="G246" s="46">
        <v>0</v>
      </c>
      <c r="H246" s="14" t="str">
        <f t="shared" ca="1" si="81"/>
        <v>R. Grave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</row>
    <row r="247" spans="1:57" s="25" customFormat="1" ht="14.25" customHeight="1" x14ac:dyDescent="0.3">
      <c r="A247" s="54" t="s">
        <v>122</v>
      </c>
      <c r="B247" s="57" t="s">
        <v>7</v>
      </c>
      <c r="C247" s="27">
        <f t="shared" si="86"/>
        <v>45187</v>
      </c>
      <c r="D247" s="27">
        <f t="shared" si="87"/>
        <v>45244</v>
      </c>
      <c r="E247" s="45">
        <f>+NETWORKDAYS(C247,D247)</f>
        <v>42</v>
      </c>
      <c r="F247" s="46">
        <f ca="1">IF((NETWORKDAYS(C247,TODAY())/E247)&gt;1,1,IF((NETWORKDAYS(C247,TODAY())/E247)&lt;0,0,NETWORKDAYS(C247,TODAY())/E247))</f>
        <v>1</v>
      </c>
      <c r="G247" s="46">
        <v>0</v>
      </c>
      <c r="H247" s="14" t="str">
        <f t="shared" ca="1" si="81"/>
        <v>R. Grave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</row>
    <row r="248" spans="1:57" s="25" customFormat="1" ht="14.25" customHeight="1" x14ac:dyDescent="0.3">
      <c r="A248" s="29" t="s">
        <v>123</v>
      </c>
      <c r="B248" s="40" t="s">
        <v>7</v>
      </c>
      <c r="C248" s="27">
        <f t="shared" si="86"/>
        <v>45187</v>
      </c>
      <c r="D248" s="27">
        <f t="shared" si="87"/>
        <v>45244</v>
      </c>
      <c r="E248" s="45">
        <f>+NETWORKDAYS(C248,D248)</f>
        <v>42</v>
      </c>
      <c r="F248" s="46">
        <f ca="1">IF((NETWORKDAYS(C248,TODAY())/E248)&gt;1,1,IF((NETWORKDAYS(C248,TODAY())/E248)&lt;0,0,NETWORKDAYS(C248,TODAY())/E248))</f>
        <v>1</v>
      </c>
      <c r="G248" s="46">
        <v>0</v>
      </c>
      <c r="H248" s="14" t="str">
        <f t="shared" ca="1" si="81"/>
        <v>R. Grave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</row>
    <row r="249" spans="1:57" s="25" customFormat="1" ht="14.25" customHeight="1" x14ac:dyDescent="0.3">
      <c r="A249" s="29"/>
      <c r="B249" s="40"/>
      <c r="C249" s="27"/>
      <c r="D249" s="27"/>
      <c r="E249" s="45"/>
      <c r="F249" s="46"/>
      <c r="G249" s="46"/>
      <c r="H249" s="46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</row>
    <row r="250" spans="1:57" ht="13.95" customHeight="1" x14ac:dyDescent="0.3">
      <c r="A250" s="35" t="s">
        <v>47</v>
      </c>
      <c r="B250" s="57"/>
      <c r="C250" s="41"/>
      <c r="D250" s="41"/>
      <c r="E250" s="42"/>
      <c r="F250" s="43"/>
      <c r="G250" s="43"/>
      <c r="H250" s="56"/>
    </row>
    <row r="251" spans="1:57" s="25" customFormat="1" ht="14.25" customHeight="1" x14ac:dyDescent="0.3">
      <c r="A251" s="54"/>
      <c r="B251" s="57"/>
      <c r="C251" s="41"/>
      <c r="D251" s="41"/>
      <c r="E251" s="42"/>
      <c r="F251" s="43"/>
      <c r="G251" s="43"/>
      <c r="H251" s="56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</row>
    <row r="252" spans="1:57" s="25" customFormat="1" ht="14.25" customHeight="1" x14ac:dyDescent="0.3">
      <c r="A252" s="54" t="s">
        <v>110</v>
      </c>
      <c r="B252" s="40" t="s">
        <v>59</v>
      </c>
      <c r="C252" s="27">
        <f>C191</f>
        <v>45145</v>
      </c>
      <c r="D252" s="27">
        <f>D216</f>
        <v>45236</v>
      </c>
      <c r="E252" s="45">
        <f>+NETWORKDAYS(C252,D252)</f>
        <v>66</v>
      </c>
      <c r="F252" s="46">
        <f ca="1">IF((NETWORKDAYS(C252,TODAY())/E252)&gt;1,1,IF((NETWORKDAYS(C252,TODAY())/E252)&lt;0,0,NETWORKDAYS(C252,TODAY())/E252))</f>
        <v>1</v>
      </c>
      <c r="G252" s="46">
        <v>0</v>
      </c>
      <c r="H252" s="14" t="str">
        <f t="shared" ref="H252:H254" ca="1" si="88">+IF(F252=0,"Pendiente",IF(G252=100%,"Terminado",IF(G252&gt;=F252,"En Tiempo",IF((G252/F252)&gt;=75%,IF((G252/F252)&lt;=99.9%,"R. Leve"),IF((G252/F252)&gt;=50%,IF((G252/F252)&lt;=74%,"R. Medio"),IF((G252/F252)&gt;=50%,IF((G252/F252)&gt;=49%,"R. Crítico"),IF(F252=0,"Pendiente",IF(G252=100%,"Terminado",IF(G252=F252,"En Tiempo",IF(G252&lt;F252,"R. Grave",IF(G252&gt;F252,"Adelantado","")))))))))))</f>
        <v>R. Grave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</row>
    <row r="253" spans="1:57" s="25" customFormat="1" ht="14.25" customHeight="1" x14ac:dyDescent="0.3">
      <c r="A253" s="54" t="s">
        <v>111</v>
      </c>
      <c r="B253" s="40" t="s">
        <v>59</v>
      </c>
      <c r="C253" s="27">
        <f>$C$252</f>
        <v>45145</v>
      </c>
      <c r="D253" s="27">
        <f>$D$252</f>
        <v>45236</v>
      </c>
      <c r="E253" s="45">
        <f>+NETWORKDAYS(C253,D253)</f>
        <v>66</v>
      </c>
      <c r="F253" s="46">
        <f ca="1">IF((NETWORKDAYS(C253,TODAY())/E253)&gt;1,1,IF((NETWORKDAYS(C253,TODAY())/E253)&lt;0,0,NETWORKDAYS(C253,TODAY())/E253))</f>
        <v>1</v>
      </c>
      <c r="G253" s="46">
        <v>0</v>
      </c>
      <c r="H253" s="14" t="str">
        <f t="shared" ca="1" si="88"/>
        <v>R. Grave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</row>
    <row r="254" spans="1:57" s="25" customFormat="1" ht="14.25" customHeight="1" x14ac:dyDescent="0.3">
      <c r="A254" s="54" t="s">
        <v>112</v>
      </c>
      <c r="B254" s="40" t="s">
        <v>59</v>
      </c>
      <c r="C254" s="27">
        <f>$C$252</f>
        <v>45145</v>
      </c>
      <c r="D254" s="27">
        <f>$D$252</f>
        <v>45236</v>
      </c>
      <c r="E254" s="45">
        <f>+NETWORKDAYS(C254,D254)</f>
        <v>66</v>
      </c>
      <c r="F254" s="46">
        <f ca="1">IF((NETWORKDAYS(C254,TODAY())/E254)&gt;1,1,IF((NETWORKDAYS(C254,TODAY())/E254)&lt;0,0,NETWORKDAYS(C254,TODAY())/E254))</f>
        <v>1</v>
      </c>
      <c r="G254" s="46">
        <v>0</v>
      </c>
      <c r="H254" s="14" t="str">
        <f t="shared" ca="1" si="88"/>
        <v>R. Grave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</row>
    <row r="255" spans="1:57" s="25" customFormat="1" ht="14.25" customHeight="1" x14ac:dyDescent="0.3">
      <c r="A255" s="54"/>
      <c r="B255" s="57"/>
      <c r="C255" s="27"/>
      <c r="D255" s="27"/>
      <c r="E255" s="28"/>
      <c r="F255" s="56"/>
      <c r="G255" s="56"/>
      <c r="H255" s="56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</row>
    <row r="256" spans="1:57" s="25" customFormat="1" ht="14.25" customHeight="1" x14ac:dyDescent="0.3">
      <c r="A256" s="54" t="s">
        <v>113</v>
      </c>
      <c r="B256" s="57" t="s">
        <v>61</v>
      </c>
      <c r="C256" s="27">
        <f t="shared" ref="C256:C257" si="89">$C$252</f>
        <v>45145</v>
      </c>
      <c r="D256" s="27">
        <f t="shared" ref="D256:D257" si="90">$D$252</f>
        <v>45236</v>
      </c>
      <c r="E256" s="45">
        <f>+NETWORKDAYS(C256,D256)</f>
        <v>66</v>
      </c>
      <c r="F256" s="46">
        <f ca="1">IF((NETWORKDAYS(C256,TODAY())/E256)&gt;1,1,IF((NETWORKDAYS(C256,TODAY())/E256)&lt;0,0,NETWORKDAYS(C256,TODAY())/E256))</f>
        <v>1</v>
      </c>
      <c r="G256" s="46">
        <v>0</v>
      </c>
      <c r="H256" s="14" t="str">
        <f t="shared" ref="H256:H257" ca="1" si="91">+IF(F256=0,"Pendiente",IF(G256=100%,"Terminado",IF(G256&gt;=F256,"En Tiempo",IF((G256/F256)&gt;=75%,IF((G256/F256)&lt;=99.9%,"R. Leve"),IF((G256/F256)&gt;=50%,IF((G256/F256)&lt;=74%,"R. Medio"),IF((G256/F256)&gt;=50%,IF((G256/F256)&gt;=49%,"R. Crítico"),IF(F256=0,"Pendiente",IF(G256=100%,"Terminado",IF(G256=F256,"En Tiempo",IF(G256&lt;F256,"R. Grave",IF(G256&gt;F256,"Adelantado","")))))))))))</f>
        <v>R. Grave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</row>
    <row r="257" spans="1:57" s="25" customFormat="1" ht="14.25" customHeight="1" x14ac:dyDescent="0.3">
      <c r="A257" s="54" t="s">
        <v>114</v>
      </c>
      <c r="B257" s="57" t="s">
        <v>61</v>
      </c>
      <c r="C257" s="27">
        <f t="shared" si="89"/>
        <v>45145</v>
      </c>
      <c r="D257" s="27">
        <f t="shared" si="90"/>
        <v>45236</v>
      </c>
      <c r="E257" s="45">
        <f>+NETWORKDAYS(C257,D257)</f>
        <v>66</v>
      </c>
      <c r="F257" s="46">
        <f ca="1">IF((NETWORKDAYS(C257,TODAY())/E257)&gt;1,1,IF((NETWORKDAYS(C257,TODAY())/E257)&lt;0,0,NETWORKDAYS(C257,TODAY())/E257))</f>
        <v>1</v>
      </c>
      <c r="G257" s="46">
        <v>0</v>
      </c>
      <c r="H257" s="14" t="str">
        <f t="shared" ca="1" si="91"/>
        <v>R. Grave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</row>
    <row r="258" spans="1:57" s="25" customFormat="1" ht="14.25" customHeight="1" x14ac:dyDescent="0.3">
      <c r="A258" s="54"/>
      <c r="B258" s="57"/>
      <c r="C258" s="27"/>
      <c r="D258" s="27"/>
      <c r="E258" s="45"/>
      <c r="F258" s="56"/>
      <c r="G258" s="56"/>
      <c r="H258" s="56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</row>
    <row r="259" spans="1:57" s="25" customFormat="1" ht="14.25" customHeight="1" x14ac:dyDescent="0.3">
      <c r="A259" s="54" t="s">
        <v>115</v>
      </c>
      <c r="B259" s="57" t="s">
        <v>116</v>
      </c>
      <c r="C259" s="27">
        <f t="shared" ref="C259:C260" si="92">$C$252</f>
        <v>45145</v>
      </c>
      <c r="D259" s="27">
        <f t="shared" ref="D259:D260" si="93">$D$252</f>
        <v>45236</v>
      </c>
      <c r="E259" s="45">
        <f>+NETWORKDAYS(C259,D259)</f>
        <v>66</v>
      </c>
      <c r="F259" s="46">
        <f ca="1">IF((NETWORKDAYS(C259,TODAY())/E259)&gt;1,1,IF((NETWORKDAYS(C259,TODAY())/E259)&lt;0,0,NETWORKDAYS(C259,TODAY())/E259))</f>
        <v>1</v>
      </c>
      <c r="G259" s="46">
        <v>0</v>
      </c>
      <c r="H259" s="14" t="str">
        <f t="shared" ref="H259:H260" ca="1" si="94">+IF(F259=0,"Pendiente",IF(G259=100%,"Terminado",IF(G259&gt;=F259,"En Tiempo",IF((G259/F259)&gt;=75%,IF((G259/F259)&lt;=99.9%,"R. Leve"),IF((G259/F259)&gt;=50%,IF((G259/F259)&lt;=74%,"R. Medio"),IF((G259/F259)&gt;=50%,IF((G259/F259)&gt;=49%,"R. Crítico"),IF(F259=0,"Pendiente",IF(G259=100%,"Terminado",IF(G259=F259,"En Tiempo",IF(G259&lt;F259,"R. Grave",IF(G259&gt;F259,"Adelantado","")))))))))))</f>
        <v>R. Grave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</row>
    <row r="260" spans="1:57" s="25" customFormat="1" ht="14.25" customHeight="1" x14ac:dyDescent="0.3">
      <c r="A260" s="54" t="s">
        <v>117</v>
      </c>
      <c r="B260" s="57" t="s">
        <v>116</v>
      </c>
      <c r="C260" s="27">
        <f t="shared" si="92"/>
        <v>45145</v>
      </c>
      <c r="D260" s="27">
        <f t="shared" si="93"/>
        <v>45236</v>
      </c>
      <c r="E260" s="45">
        <f>+NETWORKDAYS(C260,D260)</f>
        <v>66</v>
      </c>
      <c r="F260" s="46">
        <f ca="1">IF((NETWORKDAYS(C260,TODAY())/E260)&gt;1,1,IF((NETWORKDAYS(C260,TODAY())/E260)&lt;0,0,NETWORKDAYS(C260,TODAY())/E260))</f>
        <v>1</v>
      </c>
      <c r="G260" s="46">
        <v>0</v>
      </c>
      <c r="H260" s="14" t="str">
        <f t="shared" ca="1" si="94"/>
        <v>R. Grave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</row>
    <row r="261" spans="1:57" s="25" customFormat="1" ht="14.25" customHeight="1" x14ac:dyDescent="0.3">
      <c r="A261" s="54"/>
      <c r="B261" s="57"/>
      <c r="C261" s="27"/>
      <c r="D261" s="27"/>
      <c r="E261" s="28"/>
      <c r="F261" s="56"/>
      <c r="G261" s="56"/>
      <c r="H261" s="56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</row>
    <row r="262" spans="1:57" s="25" customFormat="1" ht="14.25" customHeight="1" x14ac:dyDescent="0.3">
      <c r="A262" s="54" t="s">
        <v>118</v>
      </c>
      <c r="B262" s="57" t="s">
        <v>11</v>
      </c>
      <c r="C262" s="27">
        <f t="shared" ref="C262:C263" si="95">$C$252</f>
        <v>45145</v>
      </c>
      <c r="D262" s="27">
        <f t="shared" ref="D262:D263" si="96">$D$252</f>
        <v>45236</v>
      </c>
      <c r="E262" s="45">
        <f>+NETWORKDAYS(C262,D262)</f>
        <v>66</v>
      </c>
      <c r="F262" s="46">
        <f ca="1">IF((NETWORKDAYS(C262,TODAY())/E262)&gt;1,1,IF((NETWORKDAYS(C262,TODAY())/E262)&lt;0,0,NETWORKDAYS(C262,TODAY())/E262))</f>
        <v>1</v>
      </c>
      <c r="G262" s="46">
        <v>0</v>
      </c>
      <c r="H262" s="14" t="str">
        <f t="shared" ref="H262:H263" ca="1" si="97">+IF(F262=0,"Pendiente",IF(G262=100%,"Terminado",IF(G262&gt;=F262,"En Tiempo",IF((G262/F262)&gt;=75%,IF((G262/F262)&lt;=99.9%,"R. Leve"),IF((G262/F262)&gt;=50%,IF((G262/F262)&lt;=74%,"R. Medio"),IF((G262/F262)&gt;=50%,IF((G262/F262)&gt;=49%,"R. Crítico"),IF(F262=0,"Pendiente",IF(G262=100%,"Terminado",IF(G262=F262,"En Tiempo",IF(G262&lt;F262,"R. Grave",IF(G262&gt;F262,"Adelantado","")))))))))))</f>
        <v>R. Grave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</row>
    <row r="263" spans="1:57" s="25" customFormat="1" ht="14.25" customHeight="1" x14ac:dyDescent="0.3">
      <c r="A263" s="29" t="s">
        <v>119</v>
      </c>
      <c r="B263" s="40" t="s">
        <v>11</v>
      </c>
      <c r="C263" s="27">
        <f t="shared" si="95"/>
        <v>45145</v>
      </c>
      <c r="D263" s="27">
        <f t="shared" si="96"/>
        <v>45236</v>
      </c>
      <c r="E263" s="45">
        <f>+NETWORKDAYS(C263,D263)</f>
        <v>66</v>
      </c>
      <c r="F263" s="46">
        <f ca="1">IF((NETWORKDAYS(C263,TODAY())/E263)&gt;1,1,IF((NETWORKDAYS(C263,TODAY())/E263)&lt;0,0,NETWORKDAYS(C263,TODAY())/E263))</f>
        <v>1</v>
      </c>
      <c r="G263" s="46">
        <v>0</v>
      </c>
      <c r="H263" s="14" t="str">
        <f t="shared" ca="1" si="97"/>
        <v>R. Grave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</row>
    <row r="264" spans="1:57" s="25" customFormat="1" ht="14.25" customHeight="1" x14ac:dyDescent="0.3">
      <c r="A264" s="54"/>
      <c r="B264" s="57"/>
      <c r="C264" s="27"/>
      <c r="D264" s="27"/>
      <c r="E264" s="45"/>
      <c r="F264" s="56"/>
      <c r="G264" s="56"/>
      <c r="H264" s="56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</row>
    <row r="265" spans="1:57" s="25" customFormat="1" ht="14.25" customHeight="1" x14ac:dyDescent="0.3">
      <c r="A265" s="54" t="s">
        <v>120</v>
      </c>
      <c r="B265" s="57" t="s">
        <v>85</v>
      </c>
      <c r="C265" s="27">
        <f t="shared" ref="C265:C268" si="98">$C$252</f>
        <v>45145</v>
      </c>
      <c r="D265" s="27">
        <f t="shared" ref="D265:D268" si="99">$D$252</f>
        <v>45236</v>
      </c>
      <c r="E265" s="45">
        <f>+NETWORKDAYS(C265,D265)</f>
        <v>66</v>
      </c>
      <c r="F265" s="46">
        <f ca="1">IF((NETWORKDAYS(C265,TODAY())/E265)&gt;1,1,IF((NETWORKDAYS(C265,TODAY())/E265)&lt;0,0,NETWORKDAYS(C265,TODAY())/E265))</f>
        <v>1</v>
      </c>
      <c r="G265" s="46">
        <v>0</v>
      </c>
      <c r="H265" s="14" t="str">
        <f t="shared" ref="H265:H268" ca="1" si="100">+IF(F265=0,"Pendiente",IF(G265=100%,"Terminado",IF(G265&gt;=F265,"En Tiempo",IF((G265/F265)&gt;=75%,IF((G265/F265)&lt;=99.9%,"R. Leve"),IF((G265/F265)&gt;=50%,IF((G265/F265)&lt;=74%,"R. Medio"),IF((G265/F265)&gt;=50%,IF((G265/F265)&gt;=49%,"R. Crítico"),IF(F265=0,"Pendiente",IF(G265=100%,"Terminado",IF(G265=F265,"En Tiempo",IF(G265&lt;F265,"R. Grave",IF(G265&gt;F265,"Adelantado","")))))))))))</f>
        <v>R. Grave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</row>
    <row r="266" spans="1:57" s="25" customFormat="1" ht="14.25" customHeight="1" x14ac:dyDescent="0.3">
      <c r="A266" s="54" t="s">
        <v>121</v>
      </c>
      <c r="B266" s="57" t="s">
        <v>85</v>
      </c>
      <c r="C266" s="27">
        <f t="shared" si="98"/>
        <v>45145</v>
      </c>
      <c r="D266" s="27">
        <f t="shared" si="99"/>
        <v>45236</v>
      </c>
      <c r="E266" s="45">
        <f>+NETWORKDAYS(C266,D266)</f>
        <v>66</v>
      </c>
      <c r="F266" s="46">
        <f ca="1">IF((NETWORKDAYS(C266,TODAY())/E266)&gt;1,1,IF((NETWORKDAYS(C266,TODAY())/E266)&lt;0,0,NETWORKDAYS(C266,TODAY())/E266))</f>
        <v>1</v>
      </c>
      <c r="G266" s="46">
        <v>0</v>
      </c>
      <c r="H266" s="14" t="str">
        <f t="shared" ca="1" si="100"/>
        <v>R. Grave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</row>
    <row r="267" spans="1:57" s="25" customFormat="1" ht="14.25" customHeight="1" x14ac:dyDescent="0.3">
      <c r="A267" s="54" t="s">
        <v>122</v>
      </c>
      <c r="B267" s="57" t="s">
        <v>7</v>
      </c>
      <c r="C267" s="27">
        <f t="shared" si="98"/>
        <v>45145</v>
      </c>
      <c r="D267" s="27">
        <f t="shared" si="99"/>
        <v>45236</v>
      </c>
      <c r="E267" s="45">
        <f>+NETWORKDAYS(C267,D267)</f>
        <v>66</v>
      </c>
      <c r="F267" s="46">
        <f ca="1">IF((NETWORKDAYS(C267,TODAY())/E267)&gt;1,1,IF((NETWORKDAYS(C267,TODAY())/E267)&lt;0,0,NETWORKDAYS(C267,TODAY())/E267))</f>
        <v>1</v>
      </c>
      <c r="G267" s="46">
        <v>0</v>
      </c>
      <c r="H267" s="14" t="str">
        <f t="shared" ca="1" si="100"/>
        <v>R. Grave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</row>
    <row r="268" spans="1:57" s="25" customFormat="1" ht="14.25" customHeight="1" x14ac:dyDescent="0.3">
      <c r="A268" s="29" t="s">
        <v>123</v>
      </c>
      <c r="B268" s="40" t="s">
        <v>7</v>
      </c>
      <c r="C268" s="27">
        <f t="shared" si="98"/>
        <v>45145</v>
      </c>
      <c r="D268" s="27">
        <f t="shared" si="99"/>
        <v>45236</v>
      </c>
      <c r="E268" s="45">
        <f>+NETWORKDAYS(C268,D268)</f>
        <v>66</v>
      </c>
      <c r="F268" s="46">
        <f ca="1">IF((NETWORKDAYS(C268,TODAY())/E268)&gt;1,1,IF((NETWORKDAYS(C268,TODAY())/E268)&lt;0,0,NETWORKDAYS(C268,TODAY())/E268))</f>
        <v>1</v>
      </c>
      <c r="G268" s="46">
        <v>0</v>
      </c>
      <c r="H268" s="14" t="str">
        <f t="shared" ca="1" si="100"/>
        <v>R. Grave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</row>
    <row r="269" spans="1:57" s="25" customFormat="1" ht="14.25" customHeight="1" x14ac:dyDescent="0.3">
      <c r="A269" s="29"/>
      <c r="B269" s="40"/>
      <c r="C269" s="27"/>
      <c r="D269" s="27"/>
      <c r="E269" s="45"/>
      <c r="F269" s="46"/>
      <c r="G269" s="46"/>
      <c r="H269" s="46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</row>
    <row r="270" spans="1:57" ht="13.95" customHeight="1" x14ac:dyDescent="0.3">
      <c r="A270" s="35" t="s">
        <v>51</v>
      </c>
      <c r="B270" s="57"/>
      <c r="C270" s="41"/>
      <c r="D270" s="41"/>
      <c r="E270" s="42"/>
      <c r="F270" s="43"/>
      <c r="G270" s="43"/>
      <c r="H270" s="56"/>
    </row>
    <row r="271" spans="1:57" s="25" customFormat="1" ht="14.25" customHeight="1" x14ac:dyDescent="0.3">
      <c r="A271" s="54"/>
      <c r="B271" s="57"/>
      <c r="C271" s="41"/>
      <c r="D271" s="41"/>
      <c r="E271" s="42"/>
      <c r="F271" s="43"/>
      <c r="G271" s="43"/>
      <c r="H271" s="56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</row>
    <row r="272" spans="1:57" s="25" customFormat="1" ht="14.25" customHeight="1" x14ac:dyDescent="0.3">
      <c r="A272" s="54" t="s">
        <v>110</v>
      </c>
      <c r="B272" s="40" t="s">
        <v>59</v>
      </c>
      <c r="C272" s="27">
        <f t="shared" ref="C272:C274" si="101">$C$252</f>
        <v>45145</v>
      </c>
      <c r="D272" s="27">
        <f t="shared" ref="D272:D274" si="102">$D$252</f>
        <v>45236</v>
      </c>
      <c r="E272" s="45">
        <f>+NETWORKDAYS(C272,D272)</f>
        <v>66</v>
      </c>
      <c r="F272" s="46">
        <f ca="1">IF((NETWORKDAYS(C272,TODAY())/E272)&gt;1,1,IF((NETWORKDAYS(C272,TODAY())/E272)&lt;0,0,NETWORKDAYS(C272,TODAY())/E272))</f>
        <v>1</v>
      </c>
      <c r="G272" s="46">
        <v>0</v>
      </c>
      <c r="H272" s="14" t="str">
        <f t="shared" ref="H272:H274" ca="1" si="103">+IF(F272=0,"Pendiente",IF(G272=100%,"Terminado",IF(G272&gt;=F272,"En Tiempo",IF((G272/F272)&gt;=75%,IF((G272/F272)&lt;=99.9%,"R. Leve"),IF((G272/F272)&gt;=50%,IF((G272/F272)&lt;=74%,"R. Medio"),IF((G272/F272)&gt;=50%,IF((G272/F272)&gt;=49%,"R. Crítico"),IF(F272=0,"Pendiente",IF(G272=100%,"Terminado",IF(G272=F272,"En Tiempo",IF(G272&lt;F272,"R. Grave",IF(G272&gt;F272,"Adelantado","")))))))))))</f>
        <v>R. Grave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</row>
    <row r="273" spans="1:57" s="25" customFormat="1" ht="14.25" customHeight="1" x14ac:dyDescent="0.3">
      <c r="A273" s="54" t="s">
        <v>111</v>
      </c>
      <c r="B273" s="40" t="s">
        <v>59</v>
      </c>
      <c r="C273" s="27">
        <f t="shared" si="101"/>
        <v>45145</v>
      </c>
      <c r="D273" s="27">
        <f t="shared" si="102"/>
        <v>45236</v>
      </c>
      <c r="E273" s="45">
        <f>+NETWORKDAYS(C273,D273)</f>
        <v>66</v>
      </c>
      <c r="F273" s="46">
        <f ca="1">IF((NETWORKDAYS(C273,TODAY())/E273)&gt;1,1,IF((NETWORKDAYS(C273,TODAY())/E273)&lt;0,0,NETWORKDAYS(C273,TODAY())/E273))</f>
        <v>1</v>
      </c>
      <c r="G273" s="46">
        <v>0</v>
      </c>
      <c r="H273" s="14" t="str">
        <f t="shared" ca="1" si="103"/>
        <v>R. Grave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</row>
    <row r="274" spans="1:57" s="25" customFormat="1" ht="14.25" customHeight="1" x14ac:dyDescent="0.3">
      <c r="A274" s="54" t="s">
        <v>112</v>
      </c>
      <c r="B274" s="40" t="s">
        <v>59</v>
      </c>
      <c r="C274" s="27">
        <f t="shared" si="101"/>
        <v>45145</v>
      </c>
      <c r="D274" s="27">
        <f t="shared" si="102"/>
        <v>45236</v>
      </c>
      <c r="E274" s="45">
        <f>+NETWORKDAYS(C274,D274)</f>
        <v>66</v>
      </c>
      <c r="F274" s="46">
        <f ca="1">IF((NETWORKDAYS(C274,TODAY())/E274)&gt;1,1,IF((NETWORKDAYS(C274,TODAY())/E274)&lt;0,0,NETWORKDAYS(C274,TODAY())/E274))</f>
        <v>1</v>
      </c>
      <c r="G274" s="46">
        <v>0</v>
      </c>
      <c r="H274" s="14" t="str">
        <f t="shared" ca="1" si="103"/>
        <v>R. Grave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</row>
    <row r="275" spans="1:57" s="25" customFormat="1" ht="14.25" customHeight="1" x14ac:dyDescent="0.3">
      <c r="A275" s="54"/>
      <c r="B275" s="57"/>
      <c r="C275" s="27"/>
      <c r="D275" s="27"/>
      <c r="E275" s="28"/>
      <c r="F275" s="56"/>
      <c r="G275" s="56"/>
      <c r="H275" s="56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</row>
    <row r="276" spans="1:57" s="25" customFormat="1" ht="14.25" customHeight="1" x14ac:dyDescent="0.3">
      <c r="A276" s="54" t="s">
        <v>113</v>
      </c>
      <c r="B276" s="57" t="s">
        <v>61</v>
      </c>
      <c r="C276" s="27">
        <f t="shared" ref="C276:C277" si="104">$C$252</f>
        <v>45145</v>
      </c>
      <c r="D276" s="27">
        <f t="shared" ref="D276:D277" si="105">$D$252</f>
        <v>45236</v>
      </c>
      <c r="E276" s="45">
        <f>+NETWORKDAYS(C276,D276)</f>
        <v>66</v>
      </c>
      <c r="F276" s="46">
        <f ca="1">IF((NETWORKDAYS(C276,TODAY())/E276)&gt;1,1,IF((NETWORKDAYS(C276,TODAY())/E276)&lt;0,0,NETWORKDAYS(C276,TODAY())/E276))</f>
        <v>1</v>
      </c>
      <c r="G276" s="46">
        <v>0</v>
      </c>
      <c r="H276" s="14" t="str">
        <f t="shared" ref="H276:H277" ca="1" si="106">+IF(F276=0,"Pendiente",IF(G276=100%,"Terminado",IF(G276&gt;=F276,"En Tiempo",IF((G276/F276)&gt;=75%,IF((G276/F276)&lt;=99.9%,"R. Leve"),IF((G276/F276)&gt;=50%,IF((G276/F276)&lt;=74%,"R. Medio"),IF((G276/F276)&gt;=50%,IF((G276/F276)&gt;=49%,"R. Crítico"),IF(F276=0,"Pendiente",IF(G276=100%,"Terminado",IF(G276=F276,"En Tiempo",IF(G276&lt;F276,"R. Grave",IF(G276&gt;F276,"Adelantado","")))))))))))</f>
        <v>R. Grave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</row>
    <row r="277" spans="1:57" s="25" customFormat="1" ht="14.25" customHeight="1" x14ac:dyDescent="0.3">
      <c r="A277" s="54" t="s">
        <v>114</v>
      </c>
      <c r="B277" s="57" t="s">
        <v>61</v>
      </c>
      <c r="C277" s="27">
        <f t="shared" si="104"/>
        <v>45145</v>
      </c>
      <c r="D277" s="27">
        <f t="shared" si="105"/>
        <v>45236</v>
      </c>
      <c r="E277" s="45">
        <f>+NETWORKDAYS(C277,D277)</f>
        <v>66</v>
      </c>
      <c r="F277" s="46">
        <f ca="1">IF((NETWORKDAYS(C277,TODAY())/E277)&gt;1,1,IF((NETWORKDAYS(C277,TODAY())/E277)&lt;0,0,NETWORKDAYS(C277,TODAY())/E277))</f>
        <v>1</v>
      </c>
      <c r="G277" s="46">
        <v>0</v>
      </c>
      <c r="H277" s="14" t="str">
        <f t="shared" ca="1" si="106"/>
        <v>R. Grave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</row>
    <row r="278" spans="1:57" s="25" customFormat="1" ht="14.25" customHeight="1" x14ac:dyDescent="0.3">
      <c r="A278" s="54"/>
      <c r="B278" s="57"/>
      <c r="C278" s="27"/>
      <c r="D278" s="27"/>
      <c r="E278" s="45"/>
      <c r="F278" s="56"/>
      <c r="G278" s="56"/>
      <c r="H278" s="56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</row>
    <row r="279" spans="1:57" s="25" customFormat="1" ht="14.25" customHeight="1" x14ac:dyDescent="0.3">
      <c r="A279" s="54" t="s">
        <v>115</v>
      </c>
      <c r="B279" s="57" t="s">
        <v>116</v>
      </c>
      <c r="C279" s="27">
        <f t="shared" ref="C279:C280" si="107">$C$252</f>
        <v>45145</v>
      </c>
      <c r="D279" s="27">
        <f t="shared" ref="D279:D280" si="108">$D$252</f>
        <v>45236</v>
      </c>
      <c r="E279" s="45">
        <f>+NETWORKDAYS(C279,D279)</f>
        <v>66</v>
      </c>
      <c r="F279" s="46">
        <f ca="1">IF((NETWORKDAYS(C279,TODAY())/E279)&gt;1,1,IF((NETWORKDAYS(C279,TODAY())/E279)&lt;0,0,NETWORKDAYS(C279,TODAY())/E279))</f>
        <v>1</v>
      </c>
      <c r="G279" s="46">
        <v>0</v>
      </c>
      <c r="H279" s="14" t="str">
        <f t="shared" ref="H279:H280" ca="1" si="109">+IF(F279=0,"Pendiente",IF(G279=100%,"Terminado",IF(G279&gt;=F279,"En Tiempo",IF((G279/F279)&gt;=75%,IF((G279/F279)&lt;=99.9%,"R. Leve"),IF((G279/F279)&gt;=50%,IF((G279/F279)&lt;=74%,"R. Medio"),IF((G279/F279)&gt;=50%,IF((G279/F279)&gt;=49%,"R. Crítico"),IF(F279=0,"Pendiente",IF(G279=100%,"Terminado",IF(G279=F279,"En Tiempo",IF(G279&lt;F279,"R. Grave",IF(G279&gt;F279,"Adelantado","")))))))))))</f>
        <v>R. Grave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</row>
    <row r="280" spans="1:57" s="25" customFormat="1" ht="14.25" customHeight="1" x14ac:dyDescent="0.3">
      <c r="A280" s="54" t="s">
        <v>117</v>
      </c>
      <c r="B280" s="57" t="s">
        <v>116</v>
      </c>
      <c r="C280" s="27">
        <f t="shared" si="107"/>
        <v>45145</v>
      </c>
      <c r="D280" s="27">
        <f t="shared" si="108"/>
        <v>45236</v>
      </c>
      <c r="E280" s="45">
        <f>+NETWORKDAYS(C280,D280)</f>
        <v>66</v>
      </c>
      <c r="F280" s="46">
        <f ca="1">IF((NETWORKDAYS(C280,TODAY())/E280)&gt;1,1,IF((NETWORKDAYS(C280,TODAY())/E280)&lt;0,0,NETWORKDAYS(C280,TODAY())/E280))</f>
        <v>1</v>
      </c>
      <c r="G280" s="46">
        <v>0</v>
      </c>
      <c r="H280" s="14" t="str">
        <f t="shared" ca="1" si="109"/>
        <v>R. Grave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</row>
    <row r="281" spans="1:57" s="25" customFormat="1" ht="14.25" customHeight="1" x14ac:dyDescent="0.3">
      <c r="A281" s="54"/>
      <c r="B281" s="57"/>
      <c r="C281" s="27"/>
      <c r="D281" s="27"/>
      <c r="E281" s="28"/>
      <c r="F281" s="56"/>
      <c r="G281" s="56"/>
      <c r="H281" s="56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</row>
    <row r="282" spans="1:57" s="25" customFormat="1" ht="14.25" customHeight="1" x14ac:dyDescent="0.3">
      <c r="A282" s="54" t="s">
        <v>118</v>
      </c>
      <c r="B282" s="57" t="s">
        <v>11</v>
      </c>
      <c r="C282" s="27">
        <f t="shared" ref="C282:C283" si="110">$C$252</f>
        <v>45145</v>
      </c>
      <c r="D282" s="27">
        <f t="shared" ref="D282:D283" si="111">$D$252</f>
        <v>45236</v>
      </c>
      <c r="E282" s="45">
        <f>+NETWORKDAYS(C282,D282)</f>
        <v>66</v>
      </c>
      <c r="F282" s="46">
        <f ca="1">IF((NETWORKDAYS(C282,TODAY())/E282)&gt;1,1,IF((NETWORKDAYS(C282,TODAY())/E282)&lt;0,0,NETWORKDAYS(C282,TODAY())/E282))</f>
        <v>1</v>
      </c>
      <c r="G282" s="46">
        <v>0</v>
      </c>
      <c r="H282" s="14" t="str">
        <f t="shared" ref="H282:H283" ca="1" si="112">+IF(F282=0,"Pendiente",IF(G282=100%,"Terminado",IF(G282&gt;=F282,"En Tiempo",IF((G282/F282)&gt;=75%,IF((G282/F282)&lt;=99.9%,"R. Leve"),IF((G282/F282)&gt;=50%,IF((G282/F282)&lt;=74%,"R. Medio"),IF((G282/F282)&gt;=50%,IF((G282/F282)&gt;=49%,"R. Crítico"),IF(F282=0,"Pendiente",IF(G282=100%,"Terminado",IF(G282=F282,"En Tiempo",IF(G282&lt;F282,"R. Grave",IF(G282&gt;F282,"Adelantado","")))))))))))</f>
        <v>R. Grave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</row>
    <row r="283" spans="1:57" s="25" customFormat="1" ht="14.25" customHeight="1" x14ac:dyDescent="0.3">
      <c r="A283" s="29" t="s">
        <v>119</v>
      </c>
      <c r="B283" s="40" t="s">
        <v>11</v>
      </c>
      <c r="C283" s="27">
        <f t="shared" si="110"/>
        <v>45145</v>
      </c>
      <c r="D283" s="27">
        <f t="shared" si="111"/>
        <v>45236</v>
      </c>
      <c r="E283" s="45">
        <f>+NETWORKDAYS(C283,D283)</f>
        <v>66</v>
      </c>
      <c r="F283" s="46">
        <f ca="1">IF((NETWORKDAYS(C283,TODAY())/E283)&gt;1,1,IF((NETWORKDAYS(C283,TODAY())/E283)&lt;0,0,NETWORKDAYS(C283,TODAY())/E283))</f>
        <v>1</v>
      </c>
      <c r="G283" s="46">
        <v>0</v>
      </c>
      <c r="H283" s="14" t="str">
        <f t="shared" ca="1" si="112"/>
        <v>R. Grave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</row>
    <row r="284" spans="1:57" s="25" customFormat="1" ht="14.25" customHeight="1" x14ac:dyDescent="0.3">
      <c r="A284" s="54"/>
      <c r="B284" s="57"/>
      <c r="C284" s="27"/>
      <c r="D284" s="27"/>
      <c r="E284" s="45"/>
      <c r="F284" s="56"/>
      <c r="G284" s="56"/>
      <c r="H284" s="56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</row>
    <row r="285" spans="1:57" s="25" customFormat="1" ht="14.25" customHeight="1" x14ac:dyDescent="0.3">
      <c r="A285" s="54" t="s">
        <v>120</v>
      </c>
      <c r="B285" s="57" t="s">
        <v>85</v>
      </c>
      <c r="C285" s="27">
        <f t="shared" ref="C285:C288" si="113">$C$252</f>
        <v>45145</v>
      </c>
      <c r="D285" s="27">
        <f t="shared" ref="D285:D288" si="114">$D$252</f>
        <v>45236</v>
      </c>
      <c r="E285" s="45">
        <f>+NETWORKDAYS(C285,D285)</f>
        <v>66</v>
      </c>
      <c r="F285" s="46">
        <f ca="1">IF((NETWORKDAYS(C285,TODAY())/E285)&gt;1,1,IF((NETWORKDAYS(C285,TODAY())/E285)&lt;0,0,NETWORKDAYS(C285,TODAY())/E285))</f>
        <v>1</v>
      </c>
      <c r="G285" s="46">
        <v>0</v>
      </c>
      <c r="H285" s="14" t="str">
        <f t="shared" ref="H285:H288" ca="1" si="115">+IF(F285=0,"Pendiente",IF(G285=100%,"Terminado",IF(G285&gt;=F285,"En Tiempo",IF((G285/F285)&gt;=75%,IF((G285/F285)&lt;=99.9%,"R. Leve"),IF((G285/F285)&gt;=50%,IF((G285/F285)&lt;=74%,"R. Medio"),IF((G285/F285)&gt;=50%,IF((G285/F285)&gt;=49%,"R. Crítico"),IF(F285=0,"Pendiente",IF(G285=100%,"Terminado",IF(G285=F285,"En Tiempo",IF(G285&lt;F285,"R. Grave",IF(G285&gt;F285,"Adelantado","")))))))))))</f>
        <v>R. Grave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</row>
    <row r="286" spans="1:57" s="25" customFormat="1" ht="14.25" customHeight="1" x14ac:dyDescent="0.3">
      <c r="A286" s="54" t="s">
        <v>121</v>
      </c>
      <c r="B286" s="57" t="s">
        <v>85</v>
      </c>
      <c r="C286" s="27">
        <f t="shared" si="113"/>
        <v>45145</v>
      </c>
      <c r="D286" s="27">
        <f t="shared" si="114"/>
        <v>45236</v>
      </c>
      <c r="E286" s="45">
        <f>+NETWORKDAYS(C286,D286)</f>
        <v>66</v>
      </c>
      <c r="F286" s="46">
        <f ca="1">IF((NETWORKDAYS(C286,TODAY())/E286)&gt;1,1,IF((NETWORKDAYS(C286,TODAY())/E286)&lt;0,0,NETWORKDAYS(C286,TODAY())/E286))</f>
        <v>1</v>
      </c>
      <c r="G286" s="46">
        <v>0</v>
      </c>
      <c r="H286" s="14" t="str">
        <f t="shared" ca="1" si="115"/>
        <v>R. Grave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</row>
    <row r="287" spans="1:57" s="25" customFormat="1" ht="14.25" customHeight="1" x14ac:dyDescent="0.3">
      <c r="A287" s="54" t="s">
        <v>122</v>
      </c>
      <c r="B287" s="57" t="s">
        <v>7</v>
      </c>
      <c r="C287" s="27">
        <f t="shared" si="113"/>
        <v>45145</v>
      </c>
      <c r="D287" s="27">
        <f t="shared" si="114"/>
        <v>45236</v>
      </c>
      <c r="E287" s="45">
        <f>+NETWORKDAYS(C287,D287)</f>
        <v>66</v>
      </c>
      <c r="F287" s="46">
        <f ca="1">IF((NETWORKDAYS(C287,TODAY())/E287)&gt;1,1,IF((NETWORKDAYS(C287,TODAY())/E287)&lt;0,0,NETWORKDAYS(C287,TODAY())/E287))</f>
        <v>1</v>
      </c>
      <c r="G287" s="46">
        <v>0</v>
      </c>
      <c r="H287" s="14" t="str">
        <f t="shared" ca="1" si="115"/>
        <v>R. Grave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</row>
    <row r="288" spans="1:57" s="25" customFormat="1" ht="14.25" customHeight="1" x14ac:dyDescent="0.3">
      <c r="A288" s="29" t="s">
        <v>123</v>
      </c>
      <c r="B288" s="40" t="s">
        <v>7</v>
      </c>
      <c r="C288" s="27">
        <f t="shared" si="113"/>
        <v>45145</v>
      </c>
      <c r="D288" s="27">
        <f t="shared" si="114"/>
        <v>45236</v>
      </c>
      <c r="E288" s="45">
        <f>+NETWORKDAYS(C288,D288)</f>
        <v>66</v>
      </c>
      <c r="F288" s="46">
        <f ca="1">IF((NETWORKDAYS(C288,TODAY())/E288)&gt;1,1,IF((NETWORKDAYS(C288,TODAY())/E288)&lt;0,0,NETWORKDAYS(C288,TODAY())/E288))</f>
        <v>1</v>
      </c>
      <c r="G288" s="46">
        <v>0</v>
      </c>
      <c r="H288" s="14" t="str">
        <f t="shared" ca="1" si="115"/>
        <v>R. Grave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</row>
    <row r="289" spans="1:57" s="25" customFormat="1" ht="14.25" customHeight="1" x14ac:dyDescent="0.3">
      <c r="A289" s="69"/>
      <c r="B289" s="57"/>
      <c r="C289" s="27"/>
      <c r="D289" s="27"/>
      <c r="E289" s="28"/>
      <c r="F289" s="56"/>
      <c r="G289" s="56"/>
      <c r="H289" s="56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</row>
    <row r="290" spans="1:57" s="25" customFormat="1" ht="23.4" x14ac:dyDescent="0.3">
      <c r="A290" s="32" t="s">
        <v>124</v>
      </c>
      <c r="B290" s="33" t="s">
        <v>125</v>
      </c>
      <c r="C290" s="34">
        <f>MIN(C292:C330)</f>
        <v>45145</v>
      </c>
      <c r="D290" s="34">
        <f>MAX(D292:D330)</f>
        <v>45244</v>
      </c>
      <c r="E290" s="71">
        <f>NETWORKDAYS(C290,D290)</f>
        <v>72</v>
      </c>
      <c r="F290" s="72">
        <f ca="1">IF((NETWORKDAYS(C290,TODAY())/E290)&gt;1,1,IF((NETWORKDAYS(C290,TODAY())/E290)&lt;0,0,NETWORKDAYS(C290,TODAY())/E290))</f>
        <v>1</v>
      </c>
      <c r="G290" s="72">
        <f ca="1">IFERROR(F290*(G291/F291),0)</f>
        <v>0</v>
      </c>
      <c r="H290" s="73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</row>
    <row r="291" spans="1:57" s="25" customFormat="1" ht="14.4" customHeight="1" x14ac:dyDescent="0.3">
      <c r="A291" s="32"/>
      <c r="B291" s="34"/>
      <c r="C291" s="34"/>
      <c r="D291" s="34"/>
      <c r="E291" s="75"/>
      <c r="F291" s="74">
        <f ca="1">AVERAGE(F293:F330)</f>
        <v>1</v>
      </c>
      <c r="G291" s="74">
        <f>AVERAGE(G293:G330)</f>
        <v>0</v>
      </c>
      <c r="H291" s="73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</row>
    <row r="292" spans="1:57" s="25" customFormat="1" ht="14.25" customHeight="1" x14ac:dyDescent="0.3">
      <c r="A292" s="35" t="s">
        <v>32</v>
      </c>
      <c r="B292" s="36"/>
      <c r="C292" s="37"/>
      <c r="D292" s="37"/>
      <c r="E292" s="38"/>
      <c r="F292" s="39"/>
      <c r="G292" s="39"/>
      <c r="H292" s="14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</row>
    <row r="293" spans="1:57" s="25" customFormat="1" ht="14.25" customHeight="1" x14ac:dyDescent="0.3">
      <c r="A293" s="54"/>
      <c r="B293" s="57"/>
      <c r="C293" s="41"/>
      <c r="D293" s="41"/>
      <c r="E293" s="42"/>
      <c r="F293" s="43"/>
      <c r="G293" s="43"/>
      <c r="H293" s="56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</row>
    <row r="294" spans="1:57" ht="14.25" customHeight="1" x14ac:dyDescent="0.3">
      <c r="A294" s="29" t="s">
        <v>126</v>
      </c>
      <c r="B294" s="40" t="s">
        <v>59</v>
      </c>
      <c r="C294" s="27">
        <f t="shared" ref="C294:C295" si="116">$C$232</f>
        <v>45187</v>
      </c>
      <c r="D294" s="27">
        <f t="shared" ref="D294:D295" si="117">$D$232</f>
        <v>45244</v>
      </c>
      <c r="E294" s="45">
        <f>+NETWORKDAYS(C294,D294)</f>
        <v>42</v>
      </c>
      <c r="F294" s="46">
        <f ca="1">IF((NETWORKDAYS(C294,TODAY())/E294)&gt;1,1,IF((NETWORKDAYS(C294,TODAY())/E294)&lt;0,0,NETWORKDAYS(C294,TODAY())/E294))</f>
        <v>1</v>
      </c>
      <c r="G294" s="46">
        <v>0</v>
      </c>
      <c r="H294" s="14" t="str">
        <f t="shared" ref="H294:H298" ca="1" si="118">+IF(F294=0,"Pendiente",IF(G294=100%,"Terminado",IF(G294&gt;=F294,"En Tiempo",IF((G294/F294)&gt;=75%,IF((G294/F294)&lt;=99.9%,"R. Leve"),IF((G294/F294)&gt;=50%,IF((G294/F294)&lt;=74%,"R. Medio"),IF((G294/F294)&gt;=50%,IF((G294/F294)&gt;=49%,"R. Crítico"),IF(F294=0,"Pendiente",IF(G294=100%,"Terminado",IF(G294=F294,"En Tiempo",IF(G294&lt;F294,"R. Grave",IF(G294&gt;F294,"Adelantado","")))))))))))</f>
        <v>R. Grave</v>
      </c>
    </row>
    <row r="295" spans="1:57" ht="14.25" customHeight="1" x14ac:dyDescent="0.3">
      <c r="A295" s="29" t="s">
        <v>127</v>
      </c>
      <c r="B295" s="40" t="s">
        <v>59</v>
      </c>
      <c r="C295" s="27">
        <f t="shared" si="116"/>
        <v>45187</v>
      </c>
      <c r="D295" s="27">
        <f t="shared" si="117"/>
        <v>45244</v>
      </c>
      <c r="E295" s="45">
        <f>+NETWORKDAYS(C295,D295)</f>
        <v>42</v>
      </c>
      <c r="F295" s="46">
        <f ca="1">IF((NETWORKDAYS(C295,TODAY())/E295)&gt;1,1,IF((NETWORKDAYS(C295,TODAY())/E295)&lt;0,0,NETWORKDAYS(C295,TODAY())/E295))</f>
        <v>1</v>
      </c>
      <c r="G295" s="46">
        <v>0</v>
      </c>
      <c r="H295" s="14" t="str">
        <f t="shared" ca="1" si="118"/>
        <v>R. Grave</v>
      </c>
    </row>
    <row r="296" spans="1:57" ht="14.25" customHeight="1" x14ac:dyDescent="0.3">
      <c r="A296" s="54"/>
      <c r="B296" s="57"/>
      <c r="C296" s="27"/>
      <c r="D296" s="27"/>
      <c r="E296" s="45"/>
      <c r="F296" s="56"/>
      <c r="G296" s="56"/>
      <c r="H296" s="56"/>
    </row>
    <row r="297" spans="1:57" ht="14.25" customHeight="1" x14ac:dyDescent="0.3">
      <c r="A297" s="29" t="s">
        <v>128</v>
      </c>
      <c r="B297" s="57" t="s">
        <v>129</v>
      </c>
      <c r="C297" s="27">
        <f t="shared" ref="C297:C298" si="119">$C$232</f>
        <v>45187</v>
      </c>
      <c r="D297" s="27">
        <f t="shared" ref="D297:D298" si="120">$D$232</f>
        <v>45244</v>
      </c>
      <c r="E297" s="45">
        <f>+NETWORKDAYS(C297,D297)</f>
        <v>42</v>
      </c>
      <c r="F297" s="46">
        <f ca="1">IF((NETWORKDAYS(C297,TODAY())/E297)&gt;1,1,IF((NETWORKDAYS(C297,TODAY())/E297)&lt;0,0,NETWORKDAYS(C297,TODAY())/E297))</f>
        <v>1</v>
      </c>
      <c r="G297" s="46">
        <v>0</v>
      </c>
      <c r="H297" s="14" t="str">
        <f t="shared" ca="1" si="118"/>
        <v>R. Grave</v>
      </c>
    </row>
    <row r="298" spans="1:57" ht="14.25" customHeight="1" x14ac:dyDescent="0.3">
      <c r="A298" s="29" t="s">
        <v>130</v>
      </c>
      <c r="B298" s="40" t="s">
        <v>129</v>
      </c>
      <c r="C298" s="27">
        <f t="shared" si="119"/>
        <v>45187</v>
      </c>
      <c r="D298" s="27">
        <f t="shared" si="120"/>
        <v>45244</v>
      </c>
      <c r="E298" s="45">
        <f>+NETWORKDAYS(C298,D298)</f>
        <v>42</v>
      </c>
      <c r="F298" s="46">
        <f ca="1">IF((NETWORKDAYS(C298,TODAY())/E298)&gt;1,1,IF((NETWORKDAYS(C298,TODAY())/E298)&lt;0,0,NETWORKDAYS(C298,TODAY())/E298))</f>
        <v>1</v>
      </c>
      <c r="G298" s="46">
        <v>0</v>
      </c>
      <c r="H298" s="14" t="str">
        <f t="shared" ca="1" si="118"/>
        <v>R. Grave</v>
      </c>
    </row>
    <row r="299" spans="1:57" ht="14.1" customHeight="1" x14ac:dyDescent="0.3">
      <c r="A299" s="54"/>
      <c r="B299" s="57"/>
      <c r="C299" s="27"/>
      <c r="D299" s="27"/>
      <c r="E299" s="28"/>
      <c r="F299" s="56"/>
      <c r="G299" s="56"/>
      <c r="H299" s="56"/>
    </row>
    <row r="300" spans="1:57" ht="14.25" customHeight="1" x14ac:dyDescent="0.3">
      <c r="A300" s="29" t="s">
        <v>131</v>
      </c>
      <c r="B300" s="57" t="s">
        <v>125</v>
      </c>
      <c r="C300" s="27">
        <f t="shared" ref="C300:C303" si="121">$C$232</f>
        <v>45187</v>
      </c>
      <c r="D300" s="27">
        <f t="shared" ref="D300:D303" si="122">$D$232</f>
        <v>45244</v>
      </c>
      <c r="E300" s="45">
        <f>+NETWORKDAYS(C300,D300)</f>
        <v>42</v>
      </c>
      <c r="F300" s="46">
        <f ca="1">IF((NETWORKDAYS(C300,TODAY())/E300)&gt;1,1,IF((NETWORKDAYS(C300,TODAY())/E300)&lt;0,0,NETWORKDAYS(C300,TODAY())/E300))</f>
        <v>1</v>
      </c>
      <c r="G300" s="46">
        <v>0</v>
      </c>
      <c r="H300" s="14" t="str">
        <f t="shared" ref="H300:H303" ca="1" si="123">+IF(F300=0,"Pendiente",IF(G300=100%,"Terminado",IF(G300&gt;=F300,"En Tiempo",IF((G300/F300)&gt;=75%,IF((G300/F300)&lt;=99.9%,"R. Leve"),IF((G300/F300)&gt;=50%,IF((G300/F300)&lt;=74%,"R. Medio"),IF((G300/F300)&gt;=50%,IF((G300/F300)&gt;=49%,"R. Crítico"),IF(F300=0,"Pendiente",IF(G300=100%,"Terminado",IF(G300=F300,"En Tiempo",IF(G300&lt;F300,"R. Grave",IF(G300&gt;F300,"Adelantado","")))))))))))</f>
        <v>R. Grave</v>
      </c>
    </row>
    <row r="301" spans="1:57" ht="14.25" customHeight="1" x14ac:dyDescent="0.3">
      <c r="A301" s="29" t="s">
        <v>132</v>
      </c>
      <c r="B301" s="57" t="s">
        <v>125</v>
      </c>
      <c r="C301" s="27">
        <f t="shared" si="121"/>
        <v>45187</v>
      </c>
      <c r="D301" s="27">
        <f t="shared" si="122"/>
        <v>45244</v>
      </c>
      <c r="E301" s="45">
        <f>+NETWORKDAYS(C301,D301)</f>
        <v>42</v>
      </c>
      <c r="F301" s="46">
        <f ca="1">IF((NETWORKDAYS(C301,TODAY())/E301)&gt;1,1,IF((NETWORKDAYS(C301,TODAY())/E301)&lt;0,0,NETWORKDAYS(C301,TODAY())/E301))</f>
        <v>1</v>
      </c>
      <c r="G301" s="46">
        <v>0</v>
      </c>
      <c r="H301" s="14" t="str">
        <f t="shared" ca="1" si="123"/>
        <v>R. Grave</v>
      </c>
      <c r="I301" s="1"/>
      <c r="J301" s="30"/>
      <c r="K301" s="45"/>
      <c r="L301" s="28"/>
      <c r="M301" s="44"/>
      <c r="N301" s="44"/>
      <c r="O301" s="44"/>
      <c r="P301" s="44"/>
      <c r="Q301" s="44"/>
      <c r="R301" s="44"/>
      <c r="S301" s="44"/>
      <c r="T301" s="44"/>
      <c r="U301" s="64"/>
      <c r="V301" s="10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</row>
    <row r="302" spans="1:57" ht="14.25" customHeight="1" x14ac:dyDescent="0.3">
      <c r="A302" s="29" t="s">
        <v>133</v>
      </c>
      <c r="B302" s="40" t="s">
        <v>125</v>
      </c>
      <c r="C302" s="27">
        <f t="shared" si="121"/>
        <v>45187</v>
      </c>
      <c r="D302" s="27">
        <f t="shared" si="122"/>
        <v>45244</v>
      </c>
      <c r="E302" s="45">
        <f>+NETWORKDAYS(C302,D302)</f>
        <v>42</v>
      </c>
      <c r="F302" s="46">
        <f ca="1">IF((NETWORKDAYS(C302,TODAY())/E302)&gt;1,1,IF((NETWORKDAYS(C302,TODAY())/E302)&lt;0,0,NETWORKDAYS(C302,TODAY())/E302))</f>
        <v>1</v>
      </c>
      <c r="G302" s="46">
        <v>0</v>
      </c>
      <c r="H302" s="14" t="str">
        <f t="shared" ca="1" si="123"/>
        <v>R. Grave</v>
      </c>
    </row>
    <row r="303" spans="1:57" ht="14.25" customHeight="1" x14ac:dyDescent="0.3">
      <c r="A303" s="29" t="s">
        <v>134</v>
      </c>
      <c r="B303" s="40" t="s">
        <v>125</v>
      </c>
      <c r="C303" s="27">
        <f t="shared" si="121"/>
        <v>45187</v>
      </c>
      <c r="D303" s="27">
        <f t="shared" si="122"/>
        <v>45244</v>
      </c>
      <c r="E303" s="45">
        <f>+NETWORKDAYS(C303,D303)</f>
        <v>42</v>
      </c>
      <c r="F303" s="46">
        <f ca="1">IF((NETWORKDAYS(C303,TODAY())/E303)&gt;1,1,IF((NETWORKDAYS(C303,TODAY())/E303)&lt;0,0,NETWORKDAYS(C303,TODAY())/E303))</f>
        <v>1</v>
      </c>
      <c r="G303" s="46">
        <v>0</v>
      </c>
      <c r="H303" s="14" t="str">
        <f t="shared" ca="1" si="123"/>
        <v>R. Grave</v>
      </c>
    </row>
    <row r="304" spans="1:57" ht="14.25" customHeight="1" x14ac:dyDescent="0.3">
      <c r="A304" s="81"/>
      <c r="B304" s="40"/>
      <c r="C304" s="27"/>
      <c r="D304" s="27"/>
      <c r="E304" s="45"/>
      <c r="F304" s="46"/>
      <c r="G304" s="46"/>
      <c r="H304" s="14"/>
    </row>
    <row r="305" spans="1:57" s="25" customFormat="1" ht="14.25" customHeight="1" x14ac:dyDescent="0.3">
      <c r="A305" s="35" t="s">
        <v>47</v>
      </c>
      <c r="B305" s="36"/>
      <c r="C305" s="37"/>
      <c r="D305" s="37"/>
      <c r="E305" s="38"/>
      <c r="F305" s="39"/>
      <c r="G305" s="39"/>
      <c r="H305" s="14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</row>
    <row r="306" spans="1:57" s="25" customFormat="1" ht="14.25" customHeight="1" x14ac:dyDescent="0.3">
      <c r="A306" s="54"/>
      <c r="B306" s="57"/>
      <c r="C306" s="41"/>
      <c r="D306" s="41"/>
      <c r="E306" s="42"/>
      <c r="F306" s="43"/>
      <c r="G306" s="43"/>
      <c r="H306" s="56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</row>
    <row r="307" spans="1:57" ht="14.25" customHeight="1" x14ac:dyDescent="0.3">
      <c r="A307" s="29" t="s">
        <v>126</v>
      </c>
      <c r="B307" s="40" t="s">
        <v>59</v>
      </c>
      <c r="C307" s="27">
        <f t="shared" ref="C307:C316" si="124">$C$252</f>
        <v>45145</v>
      </c>
      <c r="D307" s="27">
        <f t="shared" ref="D307:D316" si="125">$D$252</f>
        <v>45236</v>
      </c>
      <c r="E307" s="45">
        <f>+NETWORKDAYS(C307,D307)</f>
        <v>66</v>
      </c>
      <c r="F307" s="46">
        <f ca="1">IF((NETWORKDAYS(C307,TODAY())/E307)&gt;1,1,IF((NETWORKDAYS(C307,TODAY())/E307)&lt;0,0,NETWORKDAYS(C307,TODAY())/E307))</f>
        <v>1</v>
      </c>
      <c r="G307" s="46">
        <v>0</v>
      </c>
      <c r="H307" s="14" t="str">
        <f t="shared" ref="H307:H308" ca="1" si="126">+IF(F307=0,"Pendiente",IF(G307=100%,"Terminado",IF(G307&gt;=F307,"En Tiempo",IF((G307/F307)&gt;=75%,IF((G307/F307)&lt;=99.9%,"R. Leve"),IF((G307/F307)&gt;=50%,IF((G307/F307)&lt;=74%,"R. Medio"),IF((G307/F307)&gt;=50%,IF((G307/F307)&gt;=49%,"R. Crítico"),IF(F307=0,"Pendiente",IF(G307=100%,"Terminado",IF(G307=F307,"En Tiempo",IF(G307&lt;F307,"R. Grave",IF(G307&gt;F307,"Adelantado","")))))))))))</f>
        <v>R. Grave</v>
      </c>
    </row>
    <row r="308" spans="1:57" ht="14.25" customHeight="1" x14ac:dyDescent="0.3">
      <c r="A308" s="29" t="s">
        <v>127</v>
      </c>
      <c r="B308" s="40" t="s">
        <v>59</v>
      </c>
      <c r="C308" s="27">
        <f t="shared" si="124"/>
        <v>45145</v>
      </c>
      <c r="D308" s="27">
        <f t="shared" si="125"/>
        <v>45236</v>
      </c>
      <c r="E308" s="45">
        <f>+NETWORKDAYS(C308,D308)</f>
        <v>66</v>
      </c>
      <c r="F308" s="46">
        <f ca="1">IF((NETWORKDAYS(C308,TODAY())/E308)&gt;1,1,IF((NETWORKDAYS(C308,TODAY())/E308)&lt;0,0,NETWORKDAYS(C308,TODAY())/E308))</f>
        <v>1</v>
      </c>
      <c r="G308" s="46">
        <v>0</v>
      </c>
      <c r="H308" s="14" t="str">
        <f t="shared" ca="1" si="126"/>
        <v>R. Grave</v>
      </c>
    </row>
    <row r="309" spans="1:57" ht="14.25" customHeight="1" x14ac:dyDescent="0.3">
      <c r="A309" s="54"/>
      <c r="B309" s="57"/>
      <c r="C309" s="27"/>
      <c r="D309" s="27"/>
      <c r="E309" s="45"/>
      <c r="F309" s="56"/>
      <c r="G309" s="56"/>
      <c r="H309" s="56"/>
    </row>
    <row r="310" spans="1:57" ht="14.25" customHeight="1" x14ac:dyDescent="0.3">
      <c r="A310" s="29" t="s">
        <v>128</v>
      </c>
      <c r="B310" s="57" t="s">
        <v>129</v>
      </c>
      <c r="C310" s="27">
        <f t="shared" si="124"/>
        <v>45145</v>
      </c>
      <c r="D310" s="27">
        <f t="shared" si="125"/>
        <v>45236</v>
      </c>
      <c r="E310" s="45">
        <f>+NETWORKDAYS(C310,D310)</f>
        <v>66</v>
      </c>
      <c r="F310" s="46">
        <f ca="1">IF((NETWORKDAYS(C310,TODAY())/E310)&gt;1,1,IF((NETWORKDAYS(C310,TODAY())/E310)&lt;0,0,NETWORKDAYS(C310,TODAY())/E310))</f>
        <v>1</v>
      </c>
      <c r="G310" s="46">
        <v>0</v>
      </c>
      <c r="H310" s="14" t="str">
        <f t="shared" ref="H310:H311" ca="1" si="127">+IF(F310=0,"Pendiente",IF(G310=100%,"Terminado",IF(G310&gt;=F310,"En Tiempo",IF((G310/F310)&gt;=75%,IF((G310/F310)&lt;=99.9%,"R. Leve"),IF((G310/F310)&gt;=50%,IF((G310/F310)&lt;=74%,"R. Medio"),IF((G310/F310)&gt;=50%,IF((G310/F310)&gt;=49%,"R. Crítico"),IF(F310=0,"Pendiente",IF(G310=100%,"Terminado",IF(G310=F310,"En Tiempo",IF(G310&lt;F310,"R. Grave",IF(G310&gt;F310,"Adelantado","")))))))))))</f>
        <v>R. Grave</v>
      </c>
    </row>
    <row r="311" spans="1:57" ht="14.25" customHeight="1" x14ac:dyDescent="0.3">
      <c r="A311" s="29" t="s">
        <v>130</v>
      </c>
      <c r="B311" s="40" t="s">
        <v>129</v>
      </c>
      <c r="C311" s="27">
        <f t="shared" si="124"/>
        <v>45145</v>
      </c>
      <c r="D311" s="27">
        <f t="shared" si="125"/>
        <v>45236</v>
      </c>
      <c r="E311" s="45">
        <f>+NETWORKDAYS(C311,D311)</f>
        <v>66</v>
      </c>
      <c r="F311" s="46">
        <f ca="1">IF((NETWORKDAYS(C311,TODAY())/E311)&gt;1,1,IF((NETWORKDAYS(C311,TODAY())/E311)&lt;0,0,NETWORKDAYS(C311,TODAY())/E311))</f>
        <v>1</v>
      </c>
      <c r="G311" s="46">
        <v>0</v>
      </c>
      <c r="H311" s="14" t="str">
        <f t="shared" ca="1" si="127"/>
        <v>R. Grave</v>
      </c>
    </row>
    <row r="312" spans="1:57" ht="14.1" customHeight="1" x14ac:dyDescent="0.3">
      <c r="A312" s="54"/>
      <c r="B312" s="57"/>
      <c r="C312" s="27"/>
      <c r="D312" s="27"/>
      <c r="E312" s="28"/>
      <c r="F312" s="56"/>
      <c r="G312" s="56"/>
      <c r="H312" s="56"/>
    </row>
    <row r="313" spans="1:57" ht="14.25" customHeight="1" x14ac:dyDescent="0.3">
      <c r="A313" s="29" t="s">
        <v>131</v>
      </c>
      <c r="B313" s="57" t="s">
        <v>125</v>
      </c>
      <c r="C313" s="27">
        <f t="shared" si="124"/>
        <v>45145</v>
      </c>
      <c r="D313" s="27">
        <f t="shared" si="125"/>
        <v>45236</v>
      </c>
      <c r="E313" s="45">
        <f>+NETWORKDAYS(C313,D313)</f>
        <v>66</v>
      </c>
      <c r="F313" s="46">
        <f ca="1">IF((NETWORKDAYS(C313,TODAY())/E313)&gt;1,1,IF((NETWORKDAYS(C313,TODAY())/E313)&lt;0,0,NETWORKDAYS(C313,TODAY())/E313))</f>
        <v>1</v>
      </c>
      <c r="G313" s="46">
        <v>0</v>
      </c>
      <c r="H313" s="14" t="str">
        <f t="shared" ref="H313:H316" ca="1" si="128">+IF(F313=0,"Pendiente",IF(G313=100%,"Terminado",IF(G313&gt;=F313,"En Tiempo",IF((G313/F313)&gt;=75%,IF((G313/F313)&lt;=99.9%,"R. Leve"),IF((G313/F313)&gt;=50%,IF((G313/F313)&lt;=74%,"R. Medio"),IF((G313/F313)&gt;=50%,IF((G313/F313)&gt;=49%,"R. Crítico"),IF(F313=0,"Pendiente",IF(G313=100%,"Terminado",IF(G313=F313,"En Tiempo",IF(G313&lt;F313,"R. Grave",IF(G313&gt;F313,"Adelantado","")))))))))))</f>
        <v>R. Grave</v>
      </c>
    </row>
    <row r="314" spans="1:57" ht="14.25" customHeight="1" x14ac:dyDescent="0.3">
      <c r="A314" s="29" t="s">
        <v>132</v>
      </c>
      <c r="B314" s="57" t="s">
        <v>125</v>
      </c>
      <c r="C314" s="27">
        <f t="shared" si="124"/>
        <v>45145</v>
      </c>
      <c r="D314" s="27">
        <f t="shared" si="125"/>
        <v>45236</v>
      </c>
      <c r="E314" s="45">
        <f>+NETWORKDAYS(C314,D314)</f>
        <v>66</v>
      </c>
      <c r="F314" s="46">
        <f ca="1">IF((NETWORKDAYS(C314,TODAY())/E314)&gt;1,1,IF((NETWORKDAYS(C314,TODAY())/E314)&lt;0,0,NETWORKDAYS(C314,TODAY())/E314))</f>
        <v>1</v>
      </c>
      <c r="G314" s="46">
        <v>0</v>
      </c>
      <c r="H314" s="14" t="str">
        <f t="shared" ca="1" si="128"/>
        <v>R. Grave</v>
      </c>
      <c r="I314" s="1"/>
      <c r="J314" s="30"/>
      <c r="K314" s="45"/>
      <c r="L314" s="28"/>
      <c r="M314" s="44"/>
      <c r="N314" s="44"/>
      <c r="O314" s="44"/>
      <c r="P314" s="44"/>
      <c r="Q314" s="44"/>
      <c r="R314" s="44"/>
      <c r="S314" s="44"/>
      <c r="T314" s="44"/>
      <c r="U314" s="64"/>
      <c r="V314" s="10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</row>
    <row r="315" spans="1:57" ht="14.25" customHeight="1" x14ac:dyDescent="0.3">
      <c r="A315" s="29" t="s">
        <v>133</v>
      </c>
      <c r="B315" s="40" t="s">
        <v>125</v>
      </c>
      <c r="C315" s="27">
        <f t="shared" si="124"/>
        <v>45145</v>
      </c>
      <c r="D315" s="27">
        <f t="shared" si="125"/>
        <v>45236</v>
      </c>
      <c r="E315" s="45">
        <f>+NETWORKDAYS(C315,D315)</f>
        <v>66</v>
      </c>
      <c r="F315" s="46">
        <f ca="1">IF((NETWORKDAYS(C315,TODAY())/E315)&gt;1,1,IF((NETWORKDAYS(C315,TODAY())/E315)&lt;0,0,NETWORKDAYS(C315,TODAY())/E315))</f>
        <v>1</v>
      </c>
      <c r="G315" s="46">
        <v>0</v>
      </c>
      <c r="H315" s="14" t="str">
        <f t="shared" ca="1" si="128"/>
        <v>R. Grave</v>
      </c>
    </row>
    <row r="316" spans="1:57" ht="14.25" customHeight="1" x14ac:dyDescent="0.3">
      <c r="A316" s="29" t="s">
        <v>134</v>
      </c>
      <c r="B316" s="40" t="s">
        <v>125</v>
      </c>
      <c r="C316" s="27">
        <f t="shared" si="124"/>
        <v>45145</v>
      </c>
      <c r="D316" s="27">
        <f t="shared" si="125"/>
        <v>45236</v>
      </c>
      <c r="E316" s="45">
        <f>+NETWORKDAYS(C316,D316)</f>
        <v>66</v>
      </c>
      <c r="F316" s="46">
        <f ca="1">IF((NETWORKDAYS(C316,TODAY())/E316)&gt;1,1,IF((NETWORKDAYS(C316,TODAY())/E316)&lt;0,0,NETWORKDAYS(C316,TODAY())/E316))</f>
        <v>1</v>
      </c>
      <c r="G316" s="46">
        <v>0</v>
      </c>
      <c r="H316" s="14" t="str">
        <f t="shared" ca="1" si="128"/>
        <v>R. Grave</v>
      </c>
    </row>
    <row r="317" spans="1:57" ht="14.25" customHeight="1" x14ac:dyDescent="0.3">
      <c r="A317" s="81"/>
      <c r="B317" s="40"/>
      <c r="C317" s="27"/>
      <c r="D317" s="27"/>
      <c r="E317" s="45"/>
      <c r="F317" s="46"/>
      <c r="G317" s="46"/>
      <c r="H317" s="14"/>
    </row>
    <row r="318" spans="1:57" s="25" customFormat="1" ht="14.25" customHeight="1" x14ac:dyDescent="0.3">
      <c r="A318" s="35" t="s">
        <v>51</v>
      </c>
      <c r="B318" s="36"/>
      <c r="C318" s="37"/>
      <c r="D318" s="37"/>
      <c r="E318" s="38"/>
      <c r="F318" s="39"/>
      <c r="G318" s="39"/>
      <c r="H318" s="14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</row>
    <row r="319" spans="1:57" s="25" customFormat="1" ht="14.25" customHeight="1" x14ac:dyDescent="0.3">
      <c r="A319" s="54"/>
      <c r="B319" s="57"/>
      <c r="C319" s="41"/>
      <c r="D319" s="41"/>
      <c r="E319" s="42"/>
      <c r="F319" s="43"/>
      <c r="G319" s="43"/>
      <c r="H319" s="56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</row>
    <row r="320" spans="1:57" ht="14.25" customHeight="1" x14ac:dyDescent="0.3">
      <c r="A320" s="29" t="s">
        <v>126</v>
      </c>
      <c r="B320" s="40" t="s">
        <v>59</v>
      </c>
      <c r="C320" s="27">
        <f t="shared" ref="C320:C321" si="129">$C$252</f>
        <v>45145</v>
      </c>
      <c r="D320" s="27">
        <f t="shared" ref="D320:D321" si="130">$D$252</f>
        <v>45236</v>
      </c>
      <c r="E320" s="45">
        <f>+NETWORKDAYS(C320,D320)</f>
        <v>66</v>
      </c>
      <c r="F320" s="46">
        <f ca="1">IF((NETWORKDAYS(C320,TODAY())/E320)&gt;1,1,IF((NETWORKDAYS(C320,TODAY())/E320)&lt;0,0,NETWORKDAYS(C320,TODAY())/E320))</f>
        <v>1</v>
      </c>
      <c r="G320" s="46">
        <v>0</v>
      </c>
      <c r="H320" s="14" t="str">
        <f t="shared" ref="H320:H321" ca="1" si="131">+IF(F320=0,"Pendiente",IF(G320=100%,"Terminado",IF(G320&gt;=F320,"En Tiempo",IF((G320/F320)&gt;=75%,IF((G320/F320)&lt;=99.9%,"R. Leve"),IF((G320/F320)&gt;=50%,IF((G320/F320)&lt;=74%,"R. Medio"),IF((G320/F320)&gt;=50%,IF((G320/F320)&gt;=49%,"R. Crítico"),IF(F320=0,"Pendiente",IF(G320=100%,"Terminado",IF(G320=F320,"En Tiempo",IF(G320&lt;F320,"R. Grave",IF(G320&gt;F320,"Adelantado","")))))))))))</f>
        <v>R. Grave</v>
      </c>
    </row>
    <row r="321" spans="1:57" ht="14.25" customHeight="1" x14ac:dyDescent="0.3">
      <c r="A321" s="29" t="s">
        <v>127</v>
      </c>
      <c r="B321" s="40" t="s">
        <v>59</v>
      </c>
      <c r="C321" s="27">
        <f t="shared" si="129"/>
        <v>45145</v>
      </c>
      <c r="D321" s="27">
        <f t="shared" si="130"/>
        <v>45236</v>
      </c>
      <c r="E321" s="45">
        <f>+NETWORKDAYS(C321,D321)</f>
        <v>66</v>
      </c>
      <c r="F321" s="46">
        <f ca="1">IF((NETWORKDAYS(C321,TODAY())/E321)&gt;1,1,IF((NETWORKDAYS(C321,TODAY())/E321)&lt;0,0,NETWORKDAYS(C321,TODAY())/E321))</f>
        <v>1</v>
      </c>
      <c r="G321" s="46">
        <v>0</v>
      </c>
      <c r="H321" s="14" t="str">
        <f t="shared" ca="1" si="131"/>
        <v>R. Grave</v>
      </c>
    </row>
    <row r="322" spans="1:57" ht="14.25" customHeight="1" x14ac:dyDescent="0.3">
      <c r="A322" s="54"/>
      <c r="B322" s="57"/>
      <c r="C322" s="27"/>
      <c r="D322" s="27"/>
      <c r="E322" s="45"/>
      <c r="F322" s="56"/>
      <c r="G322" s="56"/>
      <c r="H322" s="56"/>
    </row>
    <row r="323" spans="1:57" ht="14.25" customHeight="1" x14ac:dyDescent="0.3">
      <c r="A323" s="29" t="s">
        <v>128</v>
      </c>
      <c r="B323" s="57" t="s">
        <v>129</v>
      </c>
      <c r="C323" s="27">
        <f t="shared" ref="C323:C324" si="132">$C$252</f>
        <v>45145</v>
      </c>
      <c r="D323" s="27">
        <f t="shared" ref="D323:D324" si="133">$D$252</f>
        <v>45236</v>
      </c>
      <c r="E323" s="45">
        <f>+NETWORKDAYS(C323,D323)</f>
        <v>66</v>
      </c>
      <c r="F323" s="46">
        <f ca="1">IF((NETWORKDAYS(C323,TODAY())/E323)&gt;1,1,IF((NETWORKDAYS(C323,TODAY())/E323)&lt;0,0,NETWORKDAYS(C323,TODAY())/E323))</f>
        <v>1</v>
      </c>
      <c r="G323" s="46">
        <v>0</v>
      </c>
      <c r="H323" s="14" t="str">
        <f t="shared" ref="H323:H324" ca="1" si="134">+IF(F323=0,"Pendiente",IF(G323=100%,"Terminado",IF(G323&gt;=F323,"En Tiempo",IF((G323/F323)&gt;=75%,IF((G323/F323)&lt;=99.9%,"R. Leve"),IF((G323/F323)&gt;=50%,IF((G323/F323)&lt;=74%,"R. Medio"),IF((G323/F323)&gt;=50%,IF((G323/F323)&gt;=49%,"R. Crítico"),IF(F323=0,"Pendiente",IF(G323=100%,"Terminado",IF(G323=F323,"En Tiempo",IF(G323&lt;F323,"R. Grave",IF(G323&gt;F323,"Adelantado","")))))))))))</f>
        <v>R. Grave</v>
      </c>
    </row>
    <row r="324" spans="1:57" ht="14.25" customHeight="1" x14ac:dyDescent="0.3">
      <c r="A324" s="29" t="s">
        <v>130</v>
      </c>
      <c r="B324" s="40" t="s">
        <v>129</v>
      </c>
      <c r="C324" s="27">
        <f t="shared" si="132"/>
        <v>45145</v>
      </c>
      <c r="D324" s="27">
        <f t="shared" si="133"/>
        <v>45236</v>
      </c>
      <c r="E324" s="45">
        <f>+NETWORKDAYS(C324,D324)</f>
        <v>66</v>
      </c>
      <c r="F324" s="46">
        <f ca="1">IF((NETWORKDAYS(C324,TODAY())/E324)&gt;1,1,IF((NETWORKDAYS(C324,TODAY())/E324)&lt;0,0,NETWORKDAYS(C324,TODAY())/E324))</f>
        <v>1</v>
      </c>
      <c r="G324" s="46">
        <v>0</v>
      </c>
      <c r="H324" s="14" t="str">
        <f t="shared" ca="1" si="134"/>
        <v>R. Grave</v>
      </c>
    </row>
    <row r="325" spans="1:57" ht="14.1" customHeight="1" x14ac:dyDescent="0.3">
      <c r="A325" s="54"/>
      <c r="B325" s="57"/>
      <c r="C325" s="27"/>
      <c r="D325" s="27"/>
      <c r="E325" s="28"/>
      <c r="F325" s="56"/>
      <c r="G325" s="56"/>
      <c r="H325" s="56"/>
    </row>
    <row r="326" spans="1:57" ht="14.25" customHeight="1" x14ac:dyDescent="0.3">
      <c r="A326" s="29" t="s">
        <v>131</v>
      </c>
      <c r="B326" s="57" t="s">
        <v>125</v>
      </c>
      <c r="C326" s="27">
        <f t="shared" ref="C326:C329" si="135">$C$252</f>
        <v>45145</v>
      </c>
      <c r="D326" s="27">
        <f t="shared" ref="D326:D329" si="136">$D$252</f>
        <v>45236</v>
      </c>
      <c r="E326" s="45">
        <f>+NETWORKDAYS(C326,D326)</f>
        <v>66</v>
      </c>
      <c r="F326" s="46">
        <f ca="1">IF((NETWORKDAYS(C326,TODAY())/E326)&gt;1,1,IF((NETWORKDAYS(C326,TODAY())/E326)&lt;0,0,NETWORKDAYS(C326,TODAY())/E326))</f>
        <v>1</v>
      </c>
      <c r="G326" s="46">
        <v>0</v>
      </c>
      <c r="H326" s="14" t="str">
        <f t="shared" ref="H326:H329" ca="1" si="137">+IF(F326=0,"Pendiente",IF(G326=100%,"Terminado",IF(G326&gt;=F326,"En Tiempo",IF((G326/F326)&gt;=75%,IF((G326/F326)&lt;=99.9%,"R. Leve"),IF((G326/F326)&gt;=50%,IF((G326/F326)&lt;=74%,"R. Medio"),IF((G326/F326)&gt;=50%,IF((G326/F326)&gt;=49%,"R. Crítico"),IF(F326=0,"Pendiente",IF(G326=100%,"Terminado",IF(G326=F326,"En Tiempo",IF(G326&lt;F326,"R. Grave",IF(G326&gt;F326,"Adelantado","")))))))))))</f>
        <v>R. Grave</v>
      </c>
    </row>
    <row r="327" spans="1:57" ht="14.25" customHeight="1" x14ac:dyDescent="0.3">
      <c r="A327" s="29" t="s">
        <v>132</v>
      </c>
      <c r="B327" s="57" t="s">
        <v>125</v>
      </c>
      <c r="C327" s="27">
        <f t="shared" si="135"/>
        <v>45145</v>
      </c>
      <c r="D327" s="27">
        <f t="shared" si="136"/>
        <v>45236</v>
      </c>
      <c r="E327" s="45">
        <f>+NETWORKDAYS(C327,D327)</f>
        <v>66</v>
      </c>
      <c r="F327" s="46">
        <f ca="1">IF((NETWORKDAYS(C327,TODAY())/E327)&gt;1,1,IF((NETWORKDAYS(C327,TODAY())/E327)&lt;0,0,NETWORKDAYS(C327,TODAY())/E327))</f>
        <v>1</v>
      </c>
      <c r="G327" s="46">
        <v>0</v>
      </c>
      <c r="H327" s="14" t="str">
        <f t="shared" ca="1" si="137"/>
        <v>R. Grave</v>
      </c>
      <c r="I327" s="1"/>
      <c r="J327" s="30"/>
      <c r="K327" s="45"/>
      <c r="L327" s="28"/>
      <c r="M327" s="44"/>
      <c r="N327" s="44"/>
      <c r="O327" s="44"/>
      <c r="P327" s="44"/>
      <c r="Q327" s="44"/>
      <c r="R327" s="44"/>
      <c r="S327" s="44"/>
      <c r="T327" s="44"/>
      <c r="U327" s="64"/>
      <c r="V327" s="10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</row>
    <row r="328" spans="1:57" ht="14.25" customHeight="1" x14ac:dyDescent="0.3">
      <c r="A328" s="29" t="s">
        <v>133</v>
      </c>
      <c r="B328" s="40" t="s">
        <v>125</v>
      </c>
      <c r="C328" s="27">
        <f t="shared" si="135"/>
        <v>45145</v>
      </c>
      <c r="D328" s="27">
        <f t="shared" si="136"/>
        <v>45236</v>
      </c>
      <c r="E328" s="45">
        <f>+NETWORKDAYS(C328,D328)</f>
        <v>66</v>
      </c>
      <c r="F328" s="46">
        <f ca="1">IF((NETWORKDAYS(C328,TODAY())/E328)&gt;1,1,IF((NETWORKDAYS(C328,TODAY())/E328)&lt;0,0,NETWORKDAYS(C328,TODAY())/E328))</f>
        <v>1</v>
      </c>
      <c r="G328" s="46">
        <v>0</v>
      </c>
      <c r="H328" s="14" t="str">
        <f t="shared" ca="1" si="137"/>
        <v>R. Grave</v>
      </c>
    </row>
    <row r="329" spans="1:57" ht="14.25" customHeight="1" x14ac:dyDescent="0.3">
      <c r="A329" s="29" t="s">
        <v>134</v>
      </c>
      <c r="B329" s="40" t="s">
        <v>125</v>
      </c>
      <c r="C329" s="27">
        <f t="shared" si="135"/>
        <v>45145</v>
      </c>
      <c r="D329" s="27">
        <f t="shared" si="136"/>
        <v>45236</v>
      </c>
      <c r="E329" s="45">
        <f>+NETWORKDAYS(C329,D329)</f>
        <v>66</v>
      </c>
      <c r="F329" s="46">
        <f ca="1">IF((NETWORKDAYS(C329,TODAY())/E329)&gt;1,1,IF((NETWORKDAYS(C329,TODAY())/E329)&lt;0,0,NETWORKDAYS(C329,TODAY())/E329))</f>
        <v>1</v>
      </c>
      <c r="G329" s="46">
        <v>0</v>
      </c>
      <c r="H329" s="14" t="str">
        <f t="shared" ca="1" si="137"/>
        <v>R. Grave</v>
      </c>
    </row>
    <row r="330" spans="1:57" ht="14.25" customHeight="1" x14ac:dyDescent="0.3">
      <c r="A330" s="69"/>
      <c r="B330" s="57"/>
      <c r="C330" s="27"/>
      <c r="D330" s="27"/>
      <c r="E330" s="28"/>
      <c r="F330" s="56"/>
      <c r="G330" s="56"/>
      <c r="H330" s="56"/>
    </row>
    <row r="331" spans="1:57" s="25" customFormat="1" ht="23.4" x14ac:dyDescent="0.3">
      <c r="A331" s="32" t="s">
        <v>135</v>
      </c>
      <c r="B331" s="33" t="s">
        <v>9</v>
      </c>
      <c r="C331" s="34">
        <f>MIN(C333:C371)</f>
        <v>45145</v>
      </c>
      <c r="D331" s="34">
        <f>MAX(D333:D371)</f>
        <v>45244</v>
      </c>
      <c r="E331" s="71">
        <f>NETWORKDAYS(C331,D331)</f>
        <v>72</v>
      </c>
      <c r="F331" s="72">
        <f ca="1">IF((NETWORKDAYS(C331,TODAY())/E331)&gt;1,1,IF((NETWORKDAYS(C331,TODAY())/E331)&lt;0,0,NETWORKDAYS(C331,TODAY())/E331))</f>
        <v>1</v>
      </c>
      <c r="G331" s="72">
        <f ca="1">IFERROR(F331*(G332/F332),0)</f>
        <v>0</v>
      </c>
      <c r="H331" s="73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</row>
    <row r="332" spans="1:57" s="25" customFormat="1" ht="11.4" customHeight="1" x14ac:dyDescent="0.3">
      <c r="A332" s="32"/>
      <c r="B332" s="33"/>
      <c r="C332" s="34"/>
      <c r="D332" s="34"/>
      <c r="E332" s="75"/>
      <c r="F332" s="74">
        <f ca="1">AVERAGE(F334:F371)</f>
        <v>1</v>
      </c>
      <c r="G332" s="74">
        <f>AVERAGE(G334:G371)</f>
        <v>0</v>
      </c>
      <c r="H332" s="73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</row>
    <row r="333" spans="1:57" s="25" customFormat="1" ht="14.25" customHeight="1" x14ac:dyDescent="0.3">
      <c r="A333" s="35" t="s">
        <v>32</v>
      </c>
      <c r="B333" s="36"/>
      <c r="C333" s="37"/>
      <c r="D333" s="37"/>
      <c r="E333" s="38"/>
      <c r="F333" s="39"/>
      <c r="G333" s="39"/>
      <c r="H333" s="14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</row>
    <row r="334" spans="1:57" s="25" customFormat="1" ht="14.25" customHeight="1" x14ac:dyDescent="0.3">
      <c r="A334" s="54"/>
      <c r="B334" s="57"/>
      <c r="C334" s="41"/>
      <c r="D334" s="41"/>
      <c r="E334" s="42"/>
      <c r="F334" s="43"/>
      <c r="G334" s="43"/>
      <c r="H334" s="56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</row>
    <row r="335" spans="1:57" s="25" customFormat="1" ht="14.25" customHeight="1" x14ac:dyDescent="0.3">
      <c r="A335" s="29" t="s">
        <v>136</v>
      </c>
      <c r="B335" s="57" t="s">
        <v>9</v>
      </c>
      <c r="C335" s="27">
        <f t="shared" ref="C335:C336" si="138">$C$232</f>
        <v>45187</v>
      </c>
      <c r="D335" s="27">
        <f t="shared" ref="D335:D336" si="139">$D$232</f>
        <v>45244</v>
      </c>
      <c r="E335" s="45">
        <f>+NETWORKDAYS(C335,D335)</f>
        <v>42</v>
      </c>
      <c r="F335" s="46">
        <f ca="1">IF((NETWORKDAYS(C335,TODAY())/E335)&gt;1,1,IF((NETWORKDAYS(C335,TODAY())/E335)&lt;0,0,NETWORKDAYS(C335,TODAY())/E335))</f>
        <v>1</v>
      </c>
      <c r="G335" s="46">
        <v>0</v>
      </c>
      <c r="H335" s="14" t="str">
        <f t="shared" ref="H335:H339" ca="1" si="140">+IF(F335=0,"Pendiente",IF(G335=100%,"Terminado",IF(G335&gt;=F335,"En Tiempo",IF((G335/F335)&gt;=75%,IF((G335/F335)&lt;=99.9%,"R. Leve"),IF((G335/F335)&gt;=50%,IF((G335/F335)&lt;=74%,"R. Medio"),IF((G335/F335)&gt;=50%,IF((G335/F335)&gt;=49%,"R. Crítico"),IF(F335=0,"Pendiente",IF(G335=100%,"Terminado",IF(G335=F335,"En Tiempo",IF(G335&lt;F335,"R. Grave",IF(G335&gt;F335,"Adelantado","")))))))))))</f>
        <v>R. Grave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</row>
    <row r="336" spans="1:57" s="25" customFormat="1" ht="14.25" customHeight="1" x14ac:dyDescent="0.3">
      <c r="A336" s="29" t="s">
        <v>137</v>
      </c>
      <c r="B336" s="40" t="s">
        <v>9</v>
      </c>
      <c r="C336" s="27">
        <f t="shared" si="138"/>
        <v>45187</v>
      </c>
      <c r="D336" s="27">
        <f t="shared" si="139"/>
        <v>45244</v>
      </c>
      <c r="E336" s="45">
        <f>+NETWORKDAYS(C336,D336)</f>
        <v>42</v>
      </c>
      <c r="F336" s="46">
        <f ca="1">IF((NETWORKDAYS(C336,TODAY())/E336)&gt;1,1,IF((NETWORKDAYS(C336,TODAY())/E336)&lt;0,0,NETWORKDAYS(C336,TODAY())/E336))</f>
        <v>1</v>
      </c>
      <c r="G336" s="46">
        <v>0</v>
      </c>
      <c r="H336" s="14" t="str">
        <f t="shared" ca="1" si="140"/>
        <v>R. Grave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</row>
    <row r="337" spans="1:57" s="25" customFormat="1" ht="14.25" customHeight="1" x14ac:dyDescent="0.3">
      <c r="A337" s="54"/>
      <c r="B337" s="57"/>
      <c r="C337" s="27"/>
      <c r="D337" s="27"/>
      <c r="E337" s="45"/>
      <c r="F337" s="46"/>
      <c r="G337" s="46"/>
      <c r="H337" s="56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</row>
    <row r="338" spans="1:57" s="25" customFormat="1" ht="14.25" customHeight="1" x14ac:dyDescent="0.3">
      <c r="A338" s="54" t="s">
        <v>138</v>
      </c>
      <c r="B338" s="40" t="s">
        <v>59</v>
      </c>
      <c r="C338" s="27">
        <f t="shared" ref="C338:C339" si="141">$C$232</f>
        <v>45187</v>
      </c>
      <c r="D338" s="27">
        <f t="shared" ref="D338:D339" si="142">$D$232</f>
        <v>45244</v>
      </c>
      <c r="E338" s="45">
        <f>+NETWORKDAYS(C338,D338)</f>
        <v>42</v>
      </c>
      <c r="F338" s="46">
        <f ca="1">IF((NETWORKDAYS(C338,TODAY())/E338)&gt;1,1,IF((NETWORKDAYS(C338,TODAY())/E338)&lt;0,0,NETWORKDAYS(C338,TODAY())/E338))</f>
        <v>1</v>
      </c>
      <c r="G338" s="46">
        <v>0</v>
      </c>
      <c r="H338" s="14" t="str">
        <f t="shared" ca="1" si="140"/>
        <v>R. Grave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</row>
    <row r="339" spans="1:57" s="25" customFormat="1" ht="14.25" customHeight="1" x14ac:dyDescent="0.3">
      <c r="A339" s="29" t="s">
        <v>139</v>
      </c>
      <c r="B339" s="40" t="s">
        <v>59</v>
      </c>
      <c r="C339" s="27">
        <f t="shared" si="141"/>
        <v>45187</v>
      </c>
      <c r="D339" s="27">
        <f t="shared" si="142"/>
        <v>45244</v>
      </c>
      <c r="E339" s="45">
        <f>+NETWORKDAYS(C339,D339)</f>
        <v>42</v>
      </c>
      <c r="F339" s="46">
        <f ca="1">IF((NETWORKDAYS(C339,TODAY())/E339)&gt;1,1,IF((NETWORKDAYS(C339,TODAY())/E339)&lt;0,0,NETWORKDAYS(C339,TODAY())/E339))</f>
        <v>1</v>
      </c>
      <c r="G339" s="46">
        <v>0</v>
      </c>
      <c r="H339" s="14" t="str">
        <f t="shared" ca="1" si="140"/>
        <v>R. Grave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</row>
    <row r="340" spans="1:57" s="25" customFormat="1" ht="14.25" customHeight="1" x14ac:dyDescent="0.3">
      <c r="A340" s="54"/>
      <c r="B340" s="57"/>
      <c r="C340" s="27"/>
      <c r="D340" s="27"/>
      <c r="E340" s="45"/>
      <c r="F340" s="46"/>
      <c r="G340" s="46"/>
      <c r="H340" s="56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</row>
    <row r="341" spans="1:57" s="25" customFormat="1" ht="14.25" customHeight="1" x14ac:dyDescent="0.3">
      <c r="A341" s="54" t="s">
        <v>140</v>
      </c>
      <c r="B341" s="57" t="s">
        <v>141</v>
      </c>
      <c r="C341" s="27">
        <f t="shared" ref="C341:C344" si="143">$C$232</f>
        <v>45187</v>
      </c>
      <c r="D341" s="27">
        <f t="shared" ref="D341:D344" si="144">$D$232</f>
        <v>45244</v>
      </c>
      <c r="E341" s="45">
        <f>+NETWORKDAYS(C341,D341)</f>
        <v>42</v>
      </c>
      <c r="F341" s="46">
        <f ca="1">IF((NETWORKDAYS(C341,TODAY())/E341)&gt;1,1,IF((NETWORKDAYS(C341,TODAY())/E341)&lt;0,0,NETWORKDAYS(C341,TODAY())/E341))</f>
        <v>1</v>
      </c>
      <c r="G341" s="46">
        <v>0</v>
      </c>
      <c r="H341" s="14" t="str">
        <f t="shared" ref="H341:H344" ca="1" si="145">+IF(F341=0,"Pendiente",IF(G341=100%,"Terminado",IF(G341&gt;=F341,"En Tiempo",IF((G341/F341)&gt;=75%,IF((G341/F341)&lt;=99.9%,"R. Leve"),IF((G341/F341)&gt;=50%,IF((G341/F341)&lt;=74%,"R. Medio"),IF((G341/F341)&gt;=50%,IF((G341/F341)&gt;=49%,"R. Crítico"),IF(F341=0,"Pendiente",IF(G341=100%,"Terminado",IF(G341=F341,"En Tiempo",IF(G341&lt;F341,"R. Grave",IF(G341&gt;F341,"Adelantado","")))))))))))</f>
        <v>R. Grave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</row>
    <row r="342" spans="1:57" s="25" customFormat="1" ht="14.25" customHeight="1" x14ac:dyDescent="0.3">
      <c r="A342" s="54" t="s">
        <v>142</v>
      </c>
      <c r="B342" s="57" t="s">
        <v>141</v>
      </c>
      <c r="C342" s="27">
        <f t="shared" si="143"/>
        <v>45187</v>
      </c>
      <c r="D342" s="27">
        <f t="shared" si="144"/>
        <v>45244</v>
      </c>
      <c r="E342" s="45">
        <f>+NETWORKDAYS(C342,D342)</f>
        <v>42</v>
      </c>
      <c r="F342" s="46">
        <f ca="1">IF((NETWORKDAYS(C342,TODAY())/E342)&gt;1,1,IF((NETWORKDAYS(C342,TODAY())/E342)&lt;0,0,NETWORKDAYS(C342,TODAY())/E342))</f>
        <v>1</v>
      </c>
      <c r="G342" s="46">
        <v>0</v>
      </c>
      <c r="H342" s="14" t="str">
        <f t="shared" ca="1" si="145"/>
        <v>R. Grave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</row>
    <row r="343" spans="1:57" s="25" customFormat="1" ht="14.25" customHeight="1" x14ac:dyDescent="0.3">
      <c r="A343" s="54" t="s">
        <v>143</v>
      </c>
      <c r="B343" s="57" t="s">
        <v>144</v>
      </c>
      <c r="C343" s="27">
        <f t="shared" si="143"/>
        <v>45187</v>
      </c>
      <c r="D343" s="27">
        <f t="shared" si="144"/>
        <v>45244</v>
      </c>
      <c r="E343" s="45">
        <f>+NETWORKDAYS(C343,D343)</f>
        <v>42</v>
      </c>
      <c r="F343" s="46">
        <f ca="1">IF((NETWORKDAYS(C343,TODAY())/E343)&gt;1,1,IF((NETWORKDAYS(C343,TODAY())/E343)&lt;0,0,NETWORKDAYS(C343,TODAY())/E343))</f>
        <v>1</v>
      </c>
      <c r="G343" s="46">
        <v>0</v>
      </c>
      <c r="H343" s="14" t="str">
        <f t="shared" ca="1" si="145"/>
        <v>R. Grave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</row>
    <row r="344" spans="1:57" s="25" customFormat="1" ht="14.25" customHeight="1" x14ac:dyDescent="0.3">
      <c r="A344" s="54" t="s">
        <v>145</v>
      </c>
      <c r="B344" s="57" t="s">
        <v>146</v>
      </c>
      <c r="C344" s="27">
        <f t="shared" si="143"/>
        <v>45187</v>
      </c>
      <c r="D344" s="27">
        <f t="shared" si="144"/>
        <v>45244</v>
      </c>
      <c r="E344" s="45">
        <f>+NETWORKDAYS(C344,D344)</f>
        <v>42</v>
      </c>
      <c r="F344" s="46">
        <f ca="1">IF((NETWORKDAYS(C344,TODAY())/E344)&gt;1,1,IF((NETWORKDAYS(C344,TODAY())/E344)&lt;0,0,NETWORKDAYS(C344,TODAY())/E344))</f>
        <v>1</v>
      </c>
      <c r="G344" s="46">
        <v>0</v>
      </c>
      <c r="H344" s="14" t="str">
        <f t="shared" ca="1" si="145"/>
        <v>R. Grave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</row>
    <row r="345" spans="1:57" s="25" customFormat="1" ht="14.25" customHeight="1" x14ac:dyDescent="0.3">
      <c r="A345" s="54"/>
      <c r="B345" s="57"/>
      <c r="C345" s="27"/>
      <c r="D345" s="27"/>
      <c r="E345" s="45"/>
      <c r="F345" s="46"/>
      <c r="G345" s="46"/>
      <c r="H345" s="14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</row>
    <row r="346" spans="1:57" s="25" customFormat="1" ht="14.25" customHeight="1" x14ac:dyDescent="0.3">
      <c r="A346" s="35" t="s">
        <v>47</v>
      </c>
      <c r="B346" s="36"/>
      <c r="C346" s="37"/>
      <c r="D346" s="37"/>
      <c r="E346" s="38"/>
      <c r="F346" s="39"/>
      <c r="G346" s="39"/>
      <c r="H346" s="14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</row>
    <row r="347" spans="1:57" s="25" customFormat="1" ht="14.25" customHeight="1" x14ac:dyDescent="0.3">
      <c r="A347" s="54"/>
      <c r="B347" s="57"/>
      <c r="C347" s="41"/>
      <c r="D347" s="41"/>
      <c r="E347" s="42"/>
      <c r="F347" s="43"/>
      <c r="G347" s="43"/>
      <c r="H347" s="56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</row>
    <row r="348" spans="1:57" s="25" customFormat="1" ht="14.25" customHeight="1" x14ac:dyDescent="0.3">
      <c r="A348" s="29" t="s">
        <v>136</v>
      </c>
      <c r="B348" s="57" t="s">
        <v>9</v>
      </c>
      <c r="C348" s="27">
        <f t="shared" ref="C348:C349" si="146">$C$252</f>
        <v>45145</v>
      </c>
      <c r="D348" s="27">
        <f t="shared" ref="D348:D349" si="147">$D$252</f>
        <v>45236</v>
      </c>
      <c r="E348" s="45">
        <f>+NETWORKDAYS(C348,D348)</f>
        <v>66</v>
      </c>
      <c r="F348" s="46">
        <f ca="1">IF((NETWORKDAYS(C348,TODAY())/E348)&gt;1,1,IF((NETWORKDAYS(C348,TODAY())/E348)&lt;0,0,NETWORKDAYS(C348,TODAY())/E348))</f>
        <v>1</v>
      </c>
      <c r="G348" s="46">
        <v>0</v>
      </c>
      <c r="H348" s="14" t="str">
        <f t="shared" ref="H348:H349" ca="1" si="148">+IF(F348=0,"Pendiente",IF(G348=100%,"Terminado",IF(G348&gt;=F348,"En Tiempo",IF((G348/F348)&gt;=75%,IF((G348/F348)&lt;=99.9%,"R. Leve"),IF((G348/F348)&gt;=50%,IF((G348/F348)&lt;=74%,"R. Medio"),IF((G348/F348)&gt;=50%,IF((G348/F348)&gt;=49%,"R. Crítico"),IF(F348=0,"Pendiente",IF(G348=100%,"Terminado",IF(G348=F348,"En Tiempo",IF(G348&lt;F348,"R. Grave",IF(G348&gt;F348,"Adelantado","")))))))))))</f>
        <v>R. Grave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</row>
    <row r="349" spans="1:57" s="25" customFormat="1" ht="14.25" customHeight="1" x14ac:dyDescent="0.3">
      <c r="A349" s="29" t="s">
        <v>137</v>
      </c>
      <c r="B349" s="40" t="s">
        <v>9</v>
      </c>
      <c r="C349" s="27">
        <f t="shared" si="146"/>
        <v>45145</v>
      </c>
      <c r="D349" s="27">
        <f t="shared" si="147"/>
        <v>45236</v>
      </c>
      <c r="E349" s="45">
        <f>+NETWORKDAYS(C349,D349)</f>
        <v>66</v>
      </c>
      <c r="F349" s="46">
        <f ca="1">IF((NETWORKDAYS(C349,TODAY())/E349)&gt;1,1,IF((NETWORKDAYS(C349,TODAY())/E349)&lt;0,0,NETWORKDAYS(C349,TODAY())/E349))</f>
        <v>1</v>
      </c>
      <c r="G349" s="46">
        <v>0</v>
      </c>
      <c r="H349" s="14" t="str">
        <f t="shared" ca="1" si="148"/>
        <v>R. Grave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</row>
    <row r="350" spans="1:57" s="25" customFormat="1" ht="14.25" customHeight="1" x14ac:dyDescent="0.3">
      <c r="A350" s="54"/>
      <c r="B350" s="57"/>
      <c r="C350" s="27"/>
      <c r="D350" s="27"/>
      <c r="E350" s="45"/>
      <c r="F350" s="46"/>
      <c r="G350" s="46"/>
      <c r="H350" s="56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</row>
    <row r="351" spans="1:57" s="25" customFormat="1" ht="14.25" customHeight="1" x14ac:dyDescent="0.3">
      <c r="A351" s="54" t="s">
        <v>138</v>
      </c>
      <c r="B351" s="40" t="s">
        <v>59</v>
      </c>
      <c r="C351" s="27">
        <f t="shared" ref="C351:C352" si="149">$C$252</f>
        <v>45145</v>
      </c>
      <c r="D351" s="27">
        <f t="shared" ref="D351:D352" si="150">$D$252</f>
        <v>45236</v>
      </c>
      <c r="E351" s="45">
        <f>+NETWORKDAYS(C351,D351)</f>
        <v>66</v>
      </c>
      <c r="F351" s="46">
        <f ca="1">IF((NETWORKDAYS(C351,TODAY())/E351)&gt;1,1,IF((NETWORKDAYS(C351,TODAY())/E351)&lt;0,0,NETWORKDAYS(C351,TODAY())/E351))</f>
        <v>1</v>
      </c>
      <c r="G351" s="46">
        <v>0</v>
      </c>
      <c r="H351" s="14" t="str">
        <f t="shared" ref="H351:H352" ca="1" si="151">+IF(F351=0,"Pendiente",IF(G351=100%,"Terminado",IF(G351&gt;=F351,"En Tiempo",IF((G351/F351)&gt;=75%,IF((G351/F351)&lt;=99.9%,"R. Leve"),IF((G351/F351)&gt;=50%,IF((G351/F351)&lt;=74%,"R. Medio"),IF((G351/F351)&gt;=50%,IF((G351/F351)&gt;=49%,"R. Crítico"),IF(F351=0,"Pendiente",IF(G351=100%,"Terminado",IF(G351=F351,"En Tiempo",IF(G351&lt;F351,"R. Grave",IF(G351&gt;F351,"Adelantado","")))))))))))</f>
        <v>R. Grave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</row>
    <row r="352" spans="1:57" s="25" customFormat="1" ht="14.25" customHeight="1" x14ac:dyDescent="0.3">
      <c r="A352" s="29" t="s">
        <v>139</v>
      </c>
      <c r="B352" s="40" t="s">
        <v>59</v>
      </c>
      <c r="C352" s="27">
        <f t="shared" si="149"/>
        <v>45145</v>
      </c>
      <c r="D352" s="27">
        <f t="shared" si="150"/>
        <v>45236</v>
      </c>
      <c r="E352" s="45">
        <f>+NETWORKDAYS(C352,D352)</f>
        <v>66</v>
      </c>
      <c r="F352" s="46">
        <f ca="1">IF((NETWORKDAYS(C352,TODAY())/E352)&gt;1,1,IF((NETWORKDAYS(C352,TODAY())/E352)&lt;0,0,NETWORKDAYS(C352,TODAY())/E352))</f>
        <v>1</v>
      </c>
      <c r="G352" s="46">
        <v>0</v>
      </c>
      <c r="H352" s="14" t="str">
        <f t="shared" ca="1" si="151"/>
        <v>R. Grave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</row>
    <row r="353" spans="1:57" s="25" customFormat="1" ht="14.25" customHeight="1" x14ac:dyDescent="0.3">
      <c r="A353" s="54"/>
      <c r="B353" s="57"/>
      <c r="C353" s="27"/>
      <c r="D353" s="27"/>
      <c r="E353" s="45"/>
      <c r="F353" s="46"/>
      <c r="G353" s="46"/>
      <c r="H353" s="56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</row>
    <row r="354" spans="1:57" s="25" customFormat="1" ht="14.25" customHeight="1" x14ac:dyDescent="0.3">
      <c r="A354" s="54" t="s">
        <v>140</v>
      </c>
      <c r="B354" s="57" t="s">
        <v>141</v>
      </c>
      <c r="C354" s="27">
        <f t="shared" ref="C354:C357" si="152">$C$252</f>
        <v>45145</v>
      </c>
      <c r="D354" s="27">
        <f t="shared" ref="D354:D357" si="153">$D$252</f>
        <v>45236</v>
      </c>
      <c r="E354" s="45">
        <f>+NETWORKDAYS(C354,D354)</f>
        <v>66</v>
      </c>
      <c r="F354" s="46">
        <f ca="1">IF((NETWORKDAYS(C354,TODAY())/E354)&gt;1,1,IF((NETWORKDAYS(C354,TODAY())/E354)&lt;0,0,NETWORKDAYS(C354,TODAY())/E354))</f>
        <v>1</v>
      </c>
      <c r="G354" s="46">
        <v>0</v>
      </c>
      <c r="H354" s="14" t="str">
        <f t="shared" ref="H354:H357" ca="1" si="154">+IF(F354=0,"Pendiente",IF(G354=100%,"Terminado",IF(G354&gt;=F354,"En Tiempo",IF((G354/F354)&gt;=75%,IF((G354/F354)&lt;=99.9%,"R. Leve"),IF((G354/F354)&gt;=50%,IF((G354/F354)&lt;=74%,"R. Medio"),IF((G354/F354)&gt;=50%,IF((G354/F354)&gt;=49%,"R. Crítico"),IF(F354=0,"Pendiente",IF(G354=100%,"Terminado",IF(G354=F354,"En Tiempo",IF(G354&lt;F354,"R. Grave",IF(G354&gt;F354,"Adelantado","")))))))))))</f>
        <v>R. Grave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</row>
    <row r="355" spans="1:57" s="25" customFormat="1" ht="14.25" customHeight="1" x14ac:dyDescent="0.3">
      <c r="A355" s="54" t="s">
        <v>142</v>
      </c>
      <c r="B355" s="57" t="s">
        <v>141</v>
      </c>
      <c r="C355" s="27">
        <f t="shared" si="152"/>
        <v>45145</v>
      </c>
      <c r="D355" s="27">
        <f t="shared" si="153"/>
        <v>45236</v>
      </c>
      <c r="E355" s="45">
        <f>+NETWORKDAYS(C355,D355)</f>
        <v>66</v>
      </c>
      <c r="F355" s="46">
        <f ca="1">IF((NETWORKDAYS(C355,TODAY())/E355)&gt;1,1,IF((NETWORKDAYS(C355,TODAY())/E355)&lt;0,0,NETWORKDAYS(C355,TODAY())/E355))</f>
        <v>1</v>
      </c>
      <c r="G355" s="46">
        <v>0</v>
      </c>
      <c r="H355" s="14" t="str">
        <f t="shared" ca="1" si="154"/>
        <v>R. Grave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</row>
    <row r="356" spans="1:57" s="25" customFormat="1" ht="14.25" customHeight="1" x14ac:dyDescent="0.3">
      <c r="A356" s="54" t="s">
        <v>143</v>
      </c>
      <c r="B356" s="57" t="s">
        <v>144</v>
      </c>
      <c r="C356" s="27">
        <f t="shared" si="152"/>
        <v>45145</v>
      </c>
      <c r="D356" s="27">
        <f t="shared" si="153"/>
        <v>45236</v>
      </c>
      <c r="E356" s="45">
        <f>+NETWORKDAYS(C356,D356)</f>
        <v>66</v>
      </c>
      <c r="F356" s="46">
        <f ca="1">IF((NETWORKDAYS(C356,TODAY())/E356)&gt;1,1,IF((NETWORKDAYS(C356,TODAY())/E356)&lt;0,0,NETWORKDAYS(C356,TODAY())/E356))</f>
        <v>1</v>
      </c>
      <c r="G356" s="46">
        <v>0</v>
      </c>
      <c r="H356" s="14" t="str">
        <f t="shared" ca="1" si="154"/>
        <v>R. Grave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</row>
    <row r="357" spans="1:57" s="25" customFormat="1" ht="14.25" customHeight="1" x14ac:dyDescent="0.3">
      <c r="A357" s="54" t="s">
        <v>145</v>
      </c>
      <c r="B357" s="57" t="s">
        <v>146</v>
      </c>
      <c r="C357" s="27">
        <f t="shared" si="152"/>
        <v>45145</v>
      </c>
      <c r="D357" s="27">
        <f t="shared" si="153"/>
        <v>45236</v>
      </c>
      <c r="E357" s="45">
        <f>+NETWORKDAYS(C357,D357)</f>
        <v>66</v>
      </c>
      <c r="F357" s="46">
        <f ca="1">IF((NETWORKDAYS(C357,TODAY())/E357)&gt;1,1,IF((NETWORKDAYS(C357,TODAY())/E357)&lt;0,0,NETWORKDAYS(C357,TODAY())/E357))</f>
        <v>1</v>
      </c>
      <c r="G357" s="46">
        <v>0</v>
      </c>
      <c r="H357" s="14" t="str">
        <f t="shared" ca="1" si="154"/>
        <v>R. Grave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</row>
    <row r="358" spans="1:57" s="25" customFormat="1" ht="14.25" customHeight="1" x14ac:dyDescent="0.3">
      <c r="A358" s="54"/>
      <c r="B358" s="57"/>
      <c r="C358" s="27"/>
      <c r="D358" s="27"/>
      <c r="E358" s="45"/>
      <c r="F358" s="46"/>
      <c r="G358" s="46"/>
      <c r="H358" s="14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</row>
    <row r="359" spans="1:57" s="25" customFormat="1" ht="13.5" customHeight="1" x14ac:dyDescent="0.3">
      <c r="A359" s="35" t="s">
        <v>51</v>
      </c>
      <c r="B359" s="36"/>
      <c r="C359" s="37"/>
      <c r="D359" s="37"/>
      <c r="E359" s="38"/>
      <c r="F359" s="39"/>
      <c r="G359" s="39"/>
      <c r="H359" s="14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</row>
    <row r="360" spans="1:57" s="25" customFormat="1" ht="14.25" customHeight="1" x14ac:dyDescent="0.3">
      <c r="A360" s="54"/>
      <c r="B360" s="57"/>
      <c r="C360" s="41"/>
      <c r="D360" s="41"/>
      <c r="E360" s="42"/>
      <c r="F360" s="43"/>
      <c r="G360" s="43"/>
      <c r="H360" s="56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</row>
    <row r="361" spans="1:57" s="25" customFormat="1" ht="14.25" customHeight="1" x14ac:dyDescent="0.3">
      <c r="A361" s="29" t="s">
        <v>136</v>
      </c>
      <c r="B361" s="57" t="s">
        <v>9</v>
      </c>
      <c r="C361" s="27">
        <f t="shared" ref="C361:C362" si="155">$C$252</f>
        <v>45145</v>
      </c>
      <c r="D361" s="27">
        <f t="shared" ref="D361:D362" si="156">$D$252</f>
        <v>45236</v>
      </c>
      <c r="E361" s="45">
        <f>+NETWORKDAYS(C361,D361)</f>
        <v>66</v>
      </c>
      <c r="F361" s="46">
        <f ca="1">IF((NETWORKDAYS(C361,TODAY())/E361)&gt;1,1,IF((NETWORKDAYS(C361,TODAY())/E361)&lt;0,0,NETWORKDAYS(C361,TODAY())/E361))</f>
        <v>1</v>
      </c>
      <c r="G361" s="46">
        <v>0</v>
      </c>
      <c r="H361" s="14" t="str">
        <f t="shared" ref="H361:H362" ca="1" si="157">+IF(F361=0,"Pendiente",IF(G361=100%,"Terminado",IF(G361&gt;=F361,"En Tiempo",IF((G361/F361)&gt;=75%,IF((G361/F361)&lt;=99.9%,"R. Leve"),IF((G361/F361)&gt;=50%,IF((G361/F361)&lt;=74%,"R. Medio"),IF((G361/F361)&gt;=50%,IF((G361/F361)&gt;=49%,"R. Crítico"),IF(F361=0,"Pendiente",IF(G361=100%,"Terminado",IF(G361=F361,"En Tiempo",IF(G361&lt;F361,"R. Grave",IF(G361&gt;F361,"Adelantado","")))))))))))</f>
        <v>R. Grave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</row>
    <row r="362" spans="1:57" s="25" customFormat="1" ht="14.25" customHeight="1" x14ac:dyDescent="0.3">
      <c r="A362" s="29" t="s">
        <v>137</v>
      </c>
      <c r="B362" s="40" t="s">
        <v>9</v>
      </c>
      <c r="C362" s="27">
        <f t="shared" si="155"/>
        <v>45145</v>
      </c>
      <c r="D362" s="27">
        <f t="shared" si="156"/>
        <v>45236</v>
      </c>
      <c r="E362" s="45">
        <f>+NETWORKDAYS(C362,D362)</f>
        <v>66</v>
      </c>
      <c r="F362" s="46">
        <f ca="1">IF((NETWORKDAYS(C362,TODAY())/E362)&gt;1,1,IF((NETWORKDAYS(C362,TODAY())/E362)&lt;0,0,NETWORKDAYS(C362,TODAY())/E362))</f>
        <v>1</v>
      </c>
      <c r="G362" s="46">
        <v>0</v>
      </c>
      <c r="H362" s="14" t="str">
        <f t="shared" ca="1" si="157"/>
        <v>R. Grave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</row>
    <row r="363" spans="1:57" s="25" customFormat="1" ht="14.25" customHeight="1" x14ac:dyDescent="0.3">
      <c r="A363" s="54"/>
      <c r="B363" s="57"/>
      <c r="C363" s="27"/>
      <c r="D363" s="27"/>
      <c r="E363" s="45"/>
      <c r="F363" s="46"/>
      <c r="G363" s="46"/>
      <c r="H363" s="56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</row>
    <row r="364" spans="1:57" s="25" customFormat="1" ht="14.25" customHeight="1" x14ac:dyDescent="0.3">
      <c r="A364" s="54" t="s">
        <v>138</v>
      </c>
      <c r="B364" s="40" t="s">
        <v>59</v>
      </c>
      <c r="C364" s="27">
        <f t="shared" ref="C364:C365" si="158">$C$252</f>
        <v>45145</v>
      </c>
      <c r="D364" s="27">
        <f t="shared" ref="D364:D365" si="159">$D$252</f>
        <v>45236</v>
      </c>
      <c r="E364" s="45">
        <f>+NETWORKDAYS(C364,D364)</f>
        <v>66</v>
      </c>
      <c r="F364" s="46">
        <f ca="1">IF((NETWORKDAYS(C364,TODAY())/E364)&gt;1,1,IF((NETWORKDAYS(C364,TODAY())/E364)&lt;0,0,NETWORKDAYS(C364,TODAY())/E364))</f>
        <v>1</v>
      </c>
      <c r="G364" s="46">
        <v>0</v>
      </c>
      <c r="H364" s="14" t="str">
        <f t="shared" ref="H364:H365" ca="1" si="160">+IF(F364=0,"Pendiente",IF(G364=100%,"Terminado",IF(G364&gt;=F364,"En Tiempo",IF((G364/F364)&gt;=75%,IF((G364/F364)&lt;=99.9%,"R. Leve"),IF((G364/F364)&gt;=50%,IF((G364/F364)&lt;=74%,"R. Medio"),IF((G364/F364)&gt;=50%,IF((G364/F364)&gt;=49%,"R. Crítico"),IF(F364=0,"Pendiente",IF(G364=100%,"Terminado",IF(G364=F364,"En Tiempo",IF(G364&lt;F364,"R. Grave",IF(G364&gt;F364,"Adelantado","")))))))))))</f>
        <v>R. Grave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</row>
    <row r="365" spans="1:57" s="25" customFormat="1" ht="14.25" customHeight="1" x14ac:dyDescent="0.3">
      <c r="A365" s="29" t="s">
        <v>139</v>
      </c>
      <c r="B365" s="40" t="s">
        <v>59</v>
      </c>
      <c r="C365" s="27">
        <f t="shared" si="158"/>
        <v>45145</v>
      </c>
      <c r="D365" s="27">
        <f t="shared" si="159"/>
        <v>45236</v>
      </c>
      <c r="E365" s="45">
        <f>+NETWORKDAYS(C365,D365)</f>
        <v>66</v>
      </c>
      <c r="F365" s="46">
        <f ca="1">IF((NETWORKDAYS(C365,TODAY())/E365)&gt;1,1,IF((NETWORKDAYS(C365,TODAY())/E365)&lt;0,0,NETWORKDAYS(C365,TODAY())/E365))</f>
        <v>1</v>
      </c>
      <c r="G365" s="46">
        <v>0</v>
      </c>
      <c r="H365" s="14" t="str">
        <f t="shared" ca="1" si="160"/>
        <v>R. Grave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</row>
    <row r="366" spans="1:57" s="25" customFormat="1" ht="14.25" customHeight="1" x14ac:dyDescent="0.3">
      <c r="A366" s="54"/>
      <c r="B366" s="57"/>
      <c r="C366" s="27"/>
      <c r="D366" s="27"/>
      <c r="E366" s="45"/>
      <c r="F366" s="46"/>
      <c r="G366" s="46"/>
      <c r="H366" s="56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</row>
    <row r="367" spans="1:57" s="25" customFormat="1" ht="14.25" customHeight="1" x14ac:dyDescent="0.3">
      <c r="A367" s="54" t="s">
        <v>140</v>
      </c>
      <c r="B367" s="57" t="s">
        <v>141</v>
      </c>
      <c r="C367" s="27">
        <f t="shared" ref="C367:C370" si="161">$C$252</f>
        <v>45145</v>
      </c>
      <c r="D367" s="27">
        <f t="shared" ref="D367:D370" si="162">$D$252</f>
        <v>45236</v>
      </c>
      <c r="E367" s="45">
        <f>+NETWORKDAYS(C367,D367)</f>
        <v>66</v>
      </c>
      <c r="F367" s="46">
        <f ca="1">IF((NETWORKDAYS(C367,TODAY())/E367)&gt;1,1,IF((NETWORKDAYS(C367,TODAY())/E367)&lt;0,0,NETWORKDAYS(C367,TODAY())/E367))</f>
        <v>1</v>
      </c>
      <c r="G367" s="46">
        <v>0</v>
      </c>
      <c r="H367" s="14" t="str">
        <f t="shared" ref="H367:H370" ca="1" si="163">+IF(F367=0,"Pendiente",IF(G367=100%,"Terminado",IF(G367&gt;=F367,"En Tiempo",IF((G367/F367)&gt;=75%,IF((G367/F367)&lt;=99.9%,"R. Leve"),IF((G367/F367)&gt;=50%,IF((G367/F367)&lt;=74%,"R. Medio"),IF((G367/F367)&gt;=50%,IF((G367/F367)&gt;=49%,"R. Crítico"),IF(F367=0,"Pendiente",IF(G367=100%,"Terminado",IF(G367=F367,"En Tiempo",IF(G367&lt;F367,"R. Grave",IF(G367&gt;F367,"Adelantado","")))))))))))</f>
        <v>R. Grave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</row>
    <row r="368" spans="1:57" s="25" customFormat="1" ht="14.25" customHeight="1" x14ac:dyDescent="0.3">
      <c r="A368" s="54" t="s">
        <v>142</v>
      </c>
      <c r="B368" s="57" t="s">
        <v>141</v>
      </c>
      <c r="C368" s="27">
        <f t="shared" si="161"/>
        <v>45145</v>
      </c>
      <c r="D368" s="27">
        <f t="shared" si="162"/>
        <v>45236</v>
      </c>
      <c r="E368" s="45">
        <f>+NETWORKDAYS(C368,D368)</f>
        <v>66</v>
      </c>
      <c r="F368" s="46">
        <f ca="1">IF((NETWORKDAYS(C368,TODAY())/E368)&gt;1,1,IF((NETWORKDAYS(C368,TODAY())/E368)&lt;0,0,NETWORKDAYS(C368,TODAY())/E368))</f>
        <v>1</v>
      </c>
      <c r="G368" s="46">
        <v>0</v>
      </c>
      <c r="H368" s="14" t="str">
        <f t="shared" ca="1" si="163"/>
        <v>R. Grave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</row>
    <row r="369" spans="1:57" s="25" customFormat="1" ht="14.25" customHeight="1" x14ac:dyDescent="0.3">
      <c r="A369" s="54" t="s">
        <v>143</v>
      </c>
      <c r="B369" s="57" t="s">
        <v>144</v>
      </c>
      <c r="C369" s="27">
        <f t="shared" si="161"/>
        <v>45145</v>
      </c>
      <c r="D369" s="27">
        <f t="shared" si="162"/>
        <v>45236</v>
      </c>
      <c r="E369" s="45">
        <f>+NETWORKDAYS(C369,D369)</f>
        <v>66</v>
      </c>
      <c r="F369" s="46">
        <f ca="1">IF((NETWORKDAYS(C369,TODAY())/E369)&gt;1,1,IF((NETWORKDAYS(C369,TODAY())/E369)&lt;0,0,NETWORKDAYS(C369,TODAY())/E369))</f>
        <v>1</v>
      </c>
      <c r="G369" s="46">
        <v>0</v>
      </c>
      <c r="H369" s="14" t="str">
        <f t="shared" ca="1" si="163"/>
        <v>R. Grave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</row>
    <row r="370" spans="1:57" s="25" customFormat="1" ht="14.25" customHeight="1" x14ac:dyDescent="0.3">
      <c r="A370" s="54" t="s">
        <v>145</v>
      </c>
      <c r="B370" s="57" t="s">
        <v>146</v>
      </c>
      <c r="C370" s="27">
        <f t="shared" si="161"/>
        <v>45145</v>
      </c>
      <c r="D370" s="27">
        <f t="shared" si="162"/>
        <v>45236</v>
      </c>
      <c r="E370" s="45">
        <f>+NETWORKDAYS(C370,D370)</f>
        <v>66</v>
      </c>
      <c r="F370" s="46">
        <f ca="1">IF((NETWORKDAYS(C370,TODAY())/E370)&gt;1,1,IF((NETWORKDAYS(C370,TODAY())/E370)&lt;0,0,NETWORKDAYS(C370,TODAY())/E370))</f>
        <v>1</v>
      </c>
      <c r="G370" s="46">
        <v>0</v>
      </c>
      <c r="H370" s="14" t="str">
        <f t="shared" ca="1" si="163"/>
        <v>R. Grave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</row>
    <row r="371" spans="1:57" s="25" customFormat="1" ht="14.25" customHeight="1" x14ac:dyDescent="0.3">
      <c r="A371" s="69"/>
      <c r="B371" s="57"/>
      <c r="C371" s="27"/>
      <c r="D371" s="27"/>
      <c r="E371" s="28"/>
      <c r="F371" s="56"/>
      <c r="G371" s="56"/>
      <c r="H371" s="56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</row>
    <row r="372" spans="1:57" s="25" customFormat="1" ht="27" customHeight="1" x14ac:dyDescent="0.3">
      <c r="A372" s="32" t="s">
        <v>147</v>
      </c>
      <c r="B372" s="33" t="s">
        <v>146</v>
      </c>
      <c r="C372" s="34">
        <f>MIN(C374:C397)</f>
        <v>45145</v>
      </c>
      <c r="D372" s="34">
        <f>MAX(D374:D397)</f>
        <v>45244</v>
      </c>
      <c r="E372" s="71">
        <f>NETWORKDAYS(C372,D372)</f>
        <v>72</v>
      </c>
      <c r="F372" s="72">
        <f ca="1">IF((NETWORKDAYS(C372,TODAY())/E372)&gt;1,1,IF((NETWORKDAYS(C372,TODAY())/E372)&lt;0,0,NETWORKDAYS(C372,TODAY())/E372))</f>
        <v>1</v>
      </c>
      <c r="G372" s="72">
        <f ca="1">IFERROR(F372*(G373/F373),0)</f>
        <v>0</v>
      </c>
      <c r="H372" s="73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</row>
    <row r="373" spans="1:57" s="25" customFormat="1" ht="14.25" customHeight="1" x14ac:dyDescent="0.3">
      <c r="A373" s="32"/>
      <c r="B373" s="33"/>
      <c r="C373" s="34"/>
      <c r="D373" s="34"/>
      <c r="E373" s="75"/>
      <c r="F373" s="74">
        <f ca="1">AVERAGE(F375:F397)</f>
        <v>1</v>
      </c>
      <c r="G373" s="74">
        <f>AVERAGE(G375:G397)</f>
        <v>0</v>
      </c>
      <c r="H373" s="73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</row>
    <row r="374" spans="1:57" s="25" customFormat="1" ht="14.25" customHeight="1" x14ac:dyDescent="0.3">
      <c r="A374" s="35" t="s">
        <v>32</v>
      </c>
      <c r="B374" s="36"/>
      <c r="C374" s="37"/>
      <c r="D374" s="37"/>
      <c r="E374" s="38"/>
      <c r="F374" s="39"/>
      <c r="G374" s="39"/>
      <c r="H374" s="14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</row>
    <row r="375" spans="1:57" s="25" customFormat="1" ht="14.25" customHeight="1" x14ac:dyDescent="0.3">
      <c r="A375" s="54"/>
      <c r="B375" s="57"/>
      <c r="C375" s="41"/>
      <c r="D375" s="41"/>
      <c r="E375" s="42"/>
      <c r="F375" s="43"/>
      <c r="G375" s="43"/>
      <c r="H375" s="56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</row>
    <row r="376" spans="1:57" s="25" customFormat="1" ht="14.25" customHeight="1" x14ac:dyDescent="0.3">
      <c r="A376" s="54" t="s">
        <v>148</v>
      </c>
      <c r="B376" s="57" t="s">
        <v>146</v>
      </c>
      <c r="C376" s="27">
        <f t="shared" ref="C376:C377" si="164">$C$232</f>
        <v>45187</v>
      </c>
      <c r="D376" s="27">
        <f t="shared" ref="D376:D377" si="165">$D$232</f>
        <v>45244</v>
      </c>
      <c r="E376" s="45">
        <f>+NETWORKDAYS(C376,D376)</f>
        <v>42</v>
      </c>
      <c r="F376" s="46">
        <f ca="1">IF((NETWORKDAYS(C376,TODAY())/E376)&gt;1,1,IF((NETWORKDAYS(C376,TODAY())/E376)&lt;0,0,NETWORKDAYS(C376,TODAY())/E376))</f>
        <v>1</v>
      </c>
      <c r="G376" s="46">
        <v>0</v>
      </c>
      <c r="H376" s="14" t="str">
        <f t="shared" ref="H376:H380" ca="1" si="166">+IF(F376=0,"Pendiente",IF(G376=100%,"Terminado",IF(G376&gt;=F376,"En Tiempo",IF((G376/F376)&gt;=75%,IF((G376/F376)&lt;=99.9%,"R. Leve"),IF((G376/F376)&gt;=50%,IF((G376/F376)&lt;=74%,"R. Medio"),IF((G376/F376)&gt;=50%,IF((G376/F376)&gt;=49%,"R. Crítico"),IF(F376=0,"Pendiente",IF(G376=100%,"Terminado",IF(G376=F376,"En Tiempo",IF(G376&lt;F376,"R. Grave",IF(G376&gt;F376,"Adelantado","")))))))))))</f>
        <v>R. Grave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</row>
    <row r="377" spans="1:57" s="25" customFormat="1" ht="14.25" customHeight="1" x14ac:dyDescent="0.3">
      <c r="A377" s="29" t="s">
        <v>149</v>
      </c>
      <c r="B377" s="40" t="s">
        <v>146</v>
      </c>
      <c r="C377" s="27">
        <f t="shared" si="164"/>
        <v>45187</v>
      </c>
      <c r="D377" s="27">
        <f t="shared" si="165"/>
        <v>45244</v>
      </c>
      <c r="E377" s="45">
        <f>+NETWORKDAYS(C377,D377)</f>
        <v>42</v>
      </c>
      <c r="F377" s="46">
        <f ca="1">IF((NETWORKDAYS(C377,TODAY())/E377)&gt;1,1,IF((NETWORKDAYS(C377,TODAY())/E377)&lt;0,0,NETWORKDAYS(C377,TODAY())/E377))</f>
        <v>1</v>
      </c>
      <c r="G377" s="46">
        <v>0</v>
      </c>
      <c r="H377" s="14" t="str">
        <f t="shared" ca="1" si="166"/>
        <v>R. Grave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</row>
    <row r="378" spans="1:57" s="25" customFormat="1" ht="14.25" customHeight="1" x14ac:dyDescent="0.3">
      <c r="A378" s="54"/>
      <c r="B378" s="57"/>
      <c r="C378" s="41"/>
      <c r="D378" s="41"/>
      <c r="E378" s="42"/>
      <c r="F378" s="43"/>
      <c r="G378" s="43"/>
      <c r="H378" s="56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</row>
    <row r="379" spans="1:57" s="25" customFormat="1" ht="14.25" customHeight="1" x14ac:dyDescent="0.3">
      <c r="A379" s="54" t="s">
        <v>150</v>
      </c>
      <c r="B379" s="57" t="s">
        <v>10</v>
      </c>
      <c r="C379" s="27">
        <f t="shared" ref="C379:C380" si="167">$C$232</f>
        <v>45187</v>
      </c>
      <c r="D379" s="27">
        <f t="shared" ref="D379:D380" si="168">$D$232</f>
        <v>45244</v>
      </c>
      <c r="E379" s="45">
        <f>+NETWORKDAYS(C379,D379)</f>
        <v>42</v>
      </c>
      <c r="F379" s="46">
        <f ca="1">IF((NETWORKDAYS(C379,TODAY())/E379)&gt;1,1,IF((NETWORKDAYS(C379,TODAY())/E379)&lt;0,0,NETWORKDAYS(C379,TODAY())/E379))</f>
        <v>1</v>
      </c>
      <c r="G379" s="46">
        <v>0</v>
      </c>
      <c r="H379" s="14" t="str">
        <f t="shared" ca="1" si="166"/>
        <v>R. Grave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</row>
    <row r="380" spans="1:57" s="25" customFormat="1" ht="14.25" customHeight="1" x14ac:dyDescent="0.3">
      <c r="A380" s="54" t="s">
        <v>151</v>
      </c>
      <c r="B380" s="57" t="s">
        <v>10</v>
      </c>
      <c r="C380" s="27">
        <f t="shared" si="167"/>
        <v>45187</v>
      </c>
      <c r="D380" s="27">
        <f t="shared" si="168"/>
        <v>45244</v>
      </c>
      <c r="E380" s="45">
        <f>+NETWORKDAYS(C380,D380)</f>
        <v>42</v>
      </c>
      <c r="F380" s="46">
        <f ca="1">IF((NETWORKDAYS(C380,TODAY())/E380)&gt;1,1,IF((NETWORKDAYS(C380,TODAY())/E380)&lt;0,0,NETWORKDAYS(C380,TODAY())/E380))</f>
        <v>1</v>
      </c>
      <c r="G380" s="46">
        <v>0</v>
      </c>
      <c r="H380" s="14" t="str">
        <f t="shared" ca="1" si="166"/>
        <v>R. Grave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</row>
    <row r="381" spans="1:57" s="25" customFormat="1" ht="14.25" customHeight="1" x14ac:dyDescent="0.3">
      <c r="A381" s="54"/>
      <c r="B381" s="57"/>
      <c r="C381" s="27"/>
      <c r="D381" s="27"/>
      <c r="E381" s="45"/>
      <c r="F381" s="46"/>
      <c r="G381" s="46"/>
      <c r="H381" s="14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</row>
    <row r="382" spans="1:57" s="25" customFormat="1" ht="14.25" customHeight="1" x14ac:dyDescent="0.3">
      <c r="A382" s="35" t="s">
        <v>32</v>
      </c>
      <c r="B382" s="36"/>
      <c r="C382" s="37"/>
      <c r="D382" s="37"/>
      <c r="E382" s="38"/>
      <c r="F382" s="39"/>
      <c r="G382" s="39"/>
      <c r="H382" s="14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</row>
    <row r="383" spans="1:57" s="25" customFormat="1" ht="14.25" customHeight="1" x14ac:dyDescent="0.3">
      <c r="A383" s="54"/>
      <c r="B383" s="57"/>
      <c r="C383" s="41"/>
      <c r="D383" s="41"/>
      <c r="E383" s="42"/>
      <c r="F383" s="43"/>
      <c r="G383" s="43"/>
      <c r="H383" s="56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</row>
    <row r="384" spans="1:57" s="25" customFormat="1" ht="14.25" customHeight="1" x14ac:dyDescent="0.3">
      <c r="A384" s="54" t="s">
        <v>148</v>
      </c>
      <c r="B384" s="57" t="s">
        <v>146</v>
      </c>
      <c r="C384" s="27">
        <f t="shared" ref="C384:C385" si="169">$C$252</f>
        <v>45145</v>
      </c>
      <c r="D384" s="27">
        <f t="shared" ref="D384:D385" si="170">$D$252</f>
        <v>45236</v>
      </c>
      <c r="E384" s="45">
        <f>+NETWORKDAYS(C384,D384)</f>
        <v>66</v>
      </c>
      <c r="F384" s="46">
        <f ca="1">IF((NETWORKDAYS(C384,TODAY())/E384)&gt;1,1,IF((NETWORKDAYS(C384,TODAY())/E384)&lt;0,0,NETWORKDAYS(C384,TODAY())/E384))</f>
        <v>1</v>
      </c>
      <c r="G384" s="46">
        <v>0</v>
      </c>
      <c r="H384" s="14" t="str">
        <f t="shared" ref="H384:H385" ca="1" si="171">+IF(F384=0,"Pendiente",IF(G384=100%,"Terminado",IF(G384&gt;=F384,"En Tiempo",IF((G384/F384)&gt;=75%,IF((G384/F384)&lt;=99.9%,"R. Leve"),IF((G384/F384)&gt;=50%,IF((G384/F384)&lt;=74%,"R. Medio"),IF((G384/F384)&gt;=50%,IF((G384/F384)&gt;=49%,"R. Crítico"),IF(F384=0,"Pendiente",IF(G384=100%,"Terminado",IF(G384=F384,"En Tiempo",IF(G384&lt;F384,"R. Grave",IF(G384&gt;F384,"Adelantado","")))))))))))</f>
        <v>R. Grave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</row>
    <row r="385" spans="1:57" s="25" customFormat="1" ht="14.25" customHeight="1" x14ac:dyDescent="0.3">
      <c r="A385" s="29" t="s">
        <v>149</v>
      </c>
      <c r="B385" s="40" t="s">
        <v>146</v>
      </c>
      <c r="C385" s="27">
        <f t="shared" si="169"/>
        <v>45145</v>
      </c>
      <c r="D385" s="27">
        <f t="shared" si="170"/>
        <v>45236</v>
      </c>
      <c r="E385" s="45">
        <f>+NETWORKDAYS(C385,D385)</f>
        <v>66</v>
      </c>
      <c r="F385" s="46">
        <f ca="1">IF((NETWORKDAYS(C385,TODAY())/E385)&gt;1,1,IF((NETWORKDAYS(C385,TODAY())/E385)&lt;0,0,NETWORKDAYS(C385,TODAY())/E385))</f>
        <v>1</v>
      </c>
      <c r="G385" s="46">
        <v>0</v>
      </c>
      <c r="H385" s="14" t="str">
        <f t="shared" ca="1" si="171"/>
        <v>R. Grave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</row>
    <row r="386" spans="1:57" s="25" customFormat="1" ht="14.25" customHeight="1" x14ac:dyDescent="0.3">
      <c r="A386" s="54"/>
      <c r="B386" s="57"/>
      <c r="C386" s="41"/>
      <c r="D386" s="41"/>
      <c r="E386" s="42"/>
      <c r="F386" s="43"/>
      <c r="G386" s="43"/>
      <c r="H386" s="56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</row>
    <row r="387" spans="1:57" s="25" customFormat="1" ht="14.25" customHeight="1" x14ac:dyDescent="0.3">
      <c r="A387" s="54" t="s">
        <v>150</v>
      </c>
      <c r="B387" s="57" t="s">
        <v>10</v>
      </c>
      <c r="C387" s="27">
        <f t="shared" ref="C387:C388" si="172">$C$252</f>
        <v>45145</v>
      </c>
      <c r="D387" s="27">
        <f t="shared" ref="D387:D388" si="173">$D$252</f>
        <v>45236</v>
      </c>
      <c r="E387" s="45">
        <f>+NETWORKDAYS(C387,D387)</f>
        <v>66</v>
      </c>
      <c r="F387" s="46">
        <f ca="1">IF((NETWORKDAYS(C387,TODAY())/E387)&gt;1,1,IF((NETWORKDAYS(C387,TODAY())/E387)&lt;0,0,NETWORKDAYS(C387,TODAY())/E387))</f>
        <v>1</v>
      </c>
      <c r="G387" s="46">
        <v>0</v>
      </c>
      <c r="H387" s="14" t="str">
        <f t="shared" ref="H387:H388" ca="1" si="174">+IF(F387=0,"Pendiente",IF(G387=100%,"Terminado",IF(G387&gt;=F387,"En Tiempo",IF((G387/F387)&gt;=75%,IF((G387/F387)&lt;=99.9%,"R. Leve"),IF((G387/F387)&gt;=50%,IF((G387/F387)&lt;=74%,"R. Medio"),IF((G387/F387)&gt;=50%,IF((G387/F387)&gt;=49%,"R. Crítico"),IF(F387=0,"Pendiente",IF(G387=100%,"Terminado",IF(G387=F387,"En Tiempo",IF(G387&lt;F387,"R. Grave",IF(G387&gt;F387,"Adelantado","")))))))))))</f>
        <v>R. Grave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</row>
    <row r="388" spans="1:57" s="25" customFormat="1" ht="14.25" customHeight="1" x14ac:dyDescent="0.3">
      <c r="A388" s="54" t="s">
        <v>151</v>
      </c>
      <c r="B388" s="57" t="s">
        <v>10</v>
      </c>
      <c r="C388" s="27">
        <f t="shared" si="172"/>
        <v>45145</v>
      </c>
      <c r="D388" s="27">
        <f t="shared" si="173"/>
        <v>45236</v>
      </c>
      <c r="E388" s="45">
        <f>+NETWORKDAYS(C388,D388)</f>
        <v>66</v>
      </c>
      <c r="F388" s="46">
        <f ca="1">IF((NETWORKDAYS(C388,TODAY())/E388)&gt;1,1,IF((NETWORKDAYS(C388,TODAY())/E388)&lt;0,0,NETWORKDAYS(C388,TODAY())/E388))</f>
        <v>1</v>
      </c>
      <c r="G388" s="46">
        <v>0</v>
      </c>
      <c r="H388" s="14" t="str">
        <f t="shared" ca="1" si="174"/>
        <v>R. Grave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</row>
    <row r="389" spans="1:57" s="25" customFormat="1" ht="14.25" customHeight="1" x14ac:dyDescent="0.3">
      <c r="A389" s="54"/>
      <c r="B389" s="57"/>
      <c r="C389" s="27"/>
      <c r="D389" s="27"/>
      <c r="E389" s="45"/>
      <c r="F389" s="46"/>
      <c r="G389" s="46"/>
      <c r="H389" s="14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</row>
    <row r="390" spans="1:57" s="25" customFormat="1" ht="14.25" customHeight="1" x14ac:dyDescent="0.3">
      <c r="A390" s="35" t="s">
        <v>32</v>
      </c>
      <c r="B390" s="36"/>
      <c r="C390" s="37"/>
      <c r="D390" s="37"/>
      <c r="E390" s="38"/>
      <c r="F390" s="39"/>
      <c r="G390" s="39"/>
      <c r="H390" s="14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</row>
    <row r="391" spans="1:57" s="25" customFormat="1" ht="14.25" customHeight="1" x14ac:dyDescent="0.3">
      <c r="A391" s="54"/>
      <c r="B391" s="57"/>
      <c r="C391" s="41"/>
      <c r="D391" s="41"/>
      <c r="E391" s="42"/>
      <c r="F391" s="43"/>
      <c r="G391" s="43"/>
      <c r="H391" s="56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</row>
    <row r="392" spans="1:57" s="25" customFormat="1" ht="14.25" customHeight="1" x14ac:dyDescent="0.3">
      <c r="A392" s="54" t="s">
        <v>148</v>
      </c>
      <c r="B392" s="57" t="s">
        <v>146</v>
      </c>
      <c r="C392" s="27">
        <f t="shared" ref="C392:C393" si="175">$C$252</f>
        <v>45145</v>
      </c>
      <c r="D392" s="27">
        <f t="shared" ref="D392:D393" si="176">$D$252</f>
        <v>45236</v>
      </c>
      <c r="E392" s="45">
        <f>+NETWORKDAYS(C392,D392)</f>
        <v>66</v>
      </c>
      <c r="F392" s="46">
        <f ca="1">IF((NETWORKDAYS(C392,TODAY())/E392)&gt;1,1,IF((NETWORKDAYS(C392,TODAY())/E392)&lt;0,0,NETWORKDAYS(C392,TODAY())/E392))</f>
        <v>1</v>
      </c>
      <c r="G392" s="46">
        <v>0</v>
      </c>
      <c r="H392" s="14" t="str">
        <f t="shared" ref="H392:H393" ca="1" si="177">+IF(F392=0,"Pendiente",IF(G392=100%,"Terminado",IF(G392&gt;=F392,"En Tiempo",IF((G392/F392)&gt;=75%,IF((G392/F392)&lt;=99.9%,"R. Leve"),IF((G392/F392)&gt;=50%,IF((G392/F392)&lt;=74%,"R. Medio"),IF((G392/F392)&gt;=50%,IF((G392/F392)&gt;=49%,"R. Crítico"),IF(F392=0,"Pendiente",IF(G392=100%,"Terminado",IF(G392=F392,"En Tiempo",IF(G392&lt;F392,"R. Grave",IF(G392&gt;F392,"Adelantado","")))))))))))</f>
        <v>R. Grave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</row>
    <row r="393" spans="1:57" s="25" customFormat="1" ht="14.25" customHeight="1" x14ac:dyDescent="0.3">
      <c r="A393" s="29" t="s">
        <v>149</v>
      </c>
      <c r="B393" s="40" t="s">
        <v>146</v>
      </c>
      <c r="C393" s="27">
        <f t="shared" si="175"/>
        <v>45145</v>
      </c>
      <c r="D393" s="27">
        <f t="shared" si="176"/>
        <v>45236</v>
      </c>
      <c r="E393" s="45">
        <f>+NETWORKDAYS(C393,D393)</f>
        <v>66</v>
      </c>
      <c r="F393" s="46">
        <f ca="1">IF((NETWORKDAYS(C393,TODAY())/E393)&gt;1,1,IF((NETWORKDAYS(C393,TODAY())/E393)&lt;0,0,NETWORKDAYS(C393,TODAY())/E393))</f>
        <v>1</v>
      </c>
      <c r="G393" s="46">
        <v>0</v>
      </c>
      <c r="H393" s="14" t="str">
        <f t="shared" ca="1" si="177"/>
        <v>R. Grave</v>
      </c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</row>
    <row r="394" spans="1:57" s="25" customFormat="1" ht="14.25" customHeight="1" x14ac:dyDescent="0.3">
      <c r="A394" s="54"/>
      <c r="B394" s="57"/>
      <c r="C394" s="41"/>
      <c r="D394" s="41"/>
      <c r="E394" s="42"/>
      <c r="F394" s="43"/>
      <c r="G394" s="43"/>
      <c r="H394" s="56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</row>
    <row r="395" spans="1:57" s="25" customFormat="1" ht="14.25" customHeight="1" x14ac:dyDescent="0.3">
      <c r="A395" s="54" t="s">
        <v>150</v>
      </c>
      <c r="B395" s="57" t="s">
        <v>10</v>
      </c>
      <c r="C395" s="27">
        <f t="shared" ref="C395:C396" si="178">$C$252</f>
        <v>45145</v>
      </c>
      <c r="D395" s="27">
        <f t="shared" ref="D395:D396" si="179">$D$252</f>
        <v>45236</v>
      </c>
      <c r="E395" s="45">
        <f>+NETWORKDAYS(C395,D395)</f>
        <v>66</v>
      </c>
      <c r="F395" s="46">
        <f ca="1">IF((NETWORKDAYS(C395,TODAY())/E395)&gt;1,1,IF((NETWORKDAYS(C395,TODAY())/E395)&lt;0,0,NETWORKDAYS(C395,TODAY())/E395))</f>
        <v>1</v>
      </c>
      <c r="G395" s="46">
        <v>0</v>
      </c>
      <c r="H395" s="14" t="str">
        <f t="shared" ref="H395:H396" ca="1" si="180">+IF(F395=0,"Pendiente",IF(G395=100%,"Terminado",IF(G395&gt;=F395,"En Tiempo",IF((G395/F395)&gt;=75%,IF((G395/F395)&lt;=99.9%,"R. Leve"),IF((G395/F395)&gt;=50%,IF((G395/F395)&lt;=74%,"R. Medio"),IF((G395/F395)&gt;=50%,IF((G395/F395)&gt;=49%,"R. Crítico"),IF(F395=0,"Pendiente",IF(G395=100%,"Terminado",IF(G395=F395,"En Tiempo",IF(G395&lt;F395,"R. Grave",IF(G395&gt;F395,"Adelantado","")))))))))))</f>
        <v>R. Grave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</row>
    <row r="396" spans="1:57" s="25" customFormat="1" ht="14.25" customHeight="1" x14ac:dyDescent="0.3">
      <c r="A396" s="54" t="s">
        <v>151</v>
      </c>
      <c r="B396" s="57" t="s">
        <v>10</v>
      </c>
      <c r="C396" s="27">
        <f t="shared" si="178"/>
        <v>45145</v>
      </c>
      <c r="D396" s="27">
        <f t="shared" si="179"/>
        <v>45236</v>
      </c>
      <c r="E396" s="45">
        <f>+NETWORKDAYS(C396,D396)</f>
        <v>66</v>
      </c>
      <c r="F396" s="46">
        <f ca="1">IF((NETWORKDAYS(C396,TODAY())/E396)&gt;1,1,IF((NETWORKDAYS(C396,TODAY())/E396)&lt;0,0,NETWORKDAYS(C396,TODAY())/E396))</f>
        <v>1</v>
      </c>
      <c r="G396" s="46">
        <v>0</v>
      </c>
      <c r="H396" s="14" t="str">
        <f t="shared" ca="1" si="180"/>
        <v>R. Grave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</row>
    <row r="397" spans="1:57" s="25" customFormat="1" ht="14.25" customHeight="1" x14ac:dyDescent="0.3">
      <c r="A397" s="69"/>
      <c r="B397" s="57"/>
      <c r="C397" s="27"/>
      <c r="D397" s="27"/>
      <c r="E397" s="28"/>
      <c r="F397" s="56"/>
      <c r="G397" s="56"/>
      <c r="H397" s="56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</row>
    <row r="398" spans="1:57" s="25" customFormat="1" ht="22.95" customHeight="1" x14ac:dyDescent="0.3">
      <c r="A398" s="32" t="s">
        <v>152</v>
      </c>
      <c r="B398" s="6"/>
      <c r="C398" s="34">
        <f>MIN(C400:C424)</f>
        <v>45145</v>
      </c>
      <c r="D398" s="34">
        <f>MAX(D400:D424)</f>
        <v>45244</v>
      </c>
      <c r="E398" s="71">
        <f>NETWORKDAYS(C398,D398)</f>
        <v>72</v>
      </c>
      <c r="F398" s="72">
        <f ca="1">IF((NETWORKDAYS(C398,TODAY())/E398)&gt;1,1,IF((NETWORKDAYS(C398,TODAY())/E398)&lt;0,0,NETWORKDAYS(C398,TODAY())/E398))</f>
        <v>1</v>
      </c>
      <c r="G398" s="72">
        <f ca="1">IFERROR(F398*(G399/F399),0)</f>
        <v>0</v>
      </c>
      <c r="H398" s="73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</row>
    <row r="399" spans="1:57" s="25" customFormat="1" ht="14.25" customHeight="1" x14ac:dyDescent="0.3">
      <c r="A399" s="32"/>
      <c r="B399" s="6"/>
      <c r="C399" s="34"/>
      <c r="D399" s="34"/>
      <c r="E399" s="75"/>
      <c r="F399" s="74">
        <f ca="1">AVERAGE(F401:F423)</f>
        <v>1</v>
      </c>
      <c r="G399" s="74">
        <f>AVERAGE(G401:G423)</f>
        <v>0</v>
      </c>
      <c r="H399" s="73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</row>
    <row r="400" spans="1:57" s="25" customFormat="1" ht="14.25" customHeight="1" x14ac:dyDescent="0.3">
      <c r="A400" s="35" t="s">
        <v>32</v>
      </c>
      <c r="B400" s="36"/>
      <c r="C400" s="37"/>
      <c r="D400" s="37"/>
      <c r="E400" s="38"/>
      <c r="F400" s="39"/>
      <c r="G400" s="39"/>
      <c r="H400" s="14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</row>
    <row r="401" spans="1:57" s="25" customFormat="1" ht="14.25" customHeight="1" x14ac:dyDescent="0.3">
      <c r="A401" s="54"/>
      <c r="B401" s="57"/>
      <c r="C401" s="41"/>
      <c r="D401" s="41"/>
      <c r="E401" s="42"/>
      <c r="F401" s="43"/>
      <c r="G401" s="43"/>
      <c r="H401" s="56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</row>
    <row r="402" spans="1:57" s="25" customFormat="1" ht="14.25" customHeight="1" x14ac:dyDescent="0.3">
      <c r="A402" s="29" t="s">
        <v>153</v>
      </c>
      <c r="B402" s="57" t="s">
        <v>61</v>
      </c>
      <c r="C402" s="27">
        <f t="shared" ref="C402:C403" si="181">$C$232</f>
        <v>45187</v>
      </c>
      <c r="D402" s="27">
        <f t="shared" ref="D402:D403" si="182">$D$232</f>
        <v>45244</v>
      </c>
      <c r="E402" s="45">
        <f>+NETWORKDAYS(C402,D402)</f>
        <v>42</v>
      </c>
      <c r="F402" s="46">
        <f ca="1">IF((NETWORKDAYS(C402,TODAY())/E402)&gt;1,1,IF((NETWORKDAYS(C402,TODAY())/E402)&lt;0,0,NETWORKDAYS(C402,TODAY())/E402))</f>
        <v>1</v>
      </c>
      <c r="G402" s="46">
        <v>0</v>
      </c>
      <c r="H402" s="14" t="str">
        <f t="shared" ref="H402:H406" ca="1" si="183">+IF(F402=0,"Pendiente",IF(G402=100%,"Terminado",IF(G402&gt;=F402,"En Tiempo",IF((G402/F402)&gt;=75%,IF((G402/F402)&lt;=99.9%,"R. Leve"),IF((G402/F402)&gt;=50%,IF((G402/F402)&lt;=74%,"R. Medio"),IF((G402/F402)&gt;=50%,IF((G402/F402)&gt;=49%,"R. Crítico"),IF(F402=0,"Pendiente",IF(G402=100%,"Terminado",IF(G402=F402,"En Tiempo",IF(G402&lt;F402,"R. Grave",IF(G402&gt;F402,"Adelantado","")))))))))))</f>
        <v>R. Grave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</row>
    <row r="403" spans="1:57" s="25" customFormat="1" ht="14.25" customHeight="1" x14ac:dyDescent="0.3">
      <c r="A403" s="29" t="s">
        <v>154</v>
      </c>
      <c r="B403" s="57" t="s">
        <v>61</v>
      </c>
      <c r="C403" s="27">
        <f t="shared" si="181"/>
        <v>45187</v>
      </c>
      <c r="D403" s="27">
        <f t="shared" si="182"/>
        <v>45244</v>
      </c>
      <c r="E403" s="45">
        <f>+NETWORKDAYS(C403,D403)</f>
        <v>42</v>
      </c>
      <c r="F403" s="46">
        <f ca="1">IF((NETWORKDAYS(C403,TODAY())/E403)&gt;1,1,IF((NETWORKDAYS(C403,TODAY())/E403)&lt;0,0,NETWORKDAYS(C403,TODAY())/E403))</f>
        <v>1</v>
      </c>
      <c r="G403" s="46">
        <v>0</v>
      </c>
      <c r="H403" s="14" t="str">
        <f t="shared" ca="1" si="183"/>
        <v>R. Grave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</row>
    <row r="404" spans="1:57" s="25" customFormat="1" ht="14.25" customHeight="1" x14ac:dyDescent="0.3">
      <c r="A404" s="54"/>
      <c r="B404" s="57"/>
      <c r="C404" s="27"/>
      <c r="D404" s="27"/>
      <c r="E404" s="45"/>
      <c r="F404" s="46"/>
      <c r="G404" s="46"/>
      <c r="H404" s="56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</row>
    <row r="405" spans="1:57" s="25" customFormat="1" ht="14.25" customHeight="1" x14ac:dyDescent="0.3">
      <c r="A405" s="29" t="s">
        <v>155</v>
      </c>
      <c r="B405" s="57" t="s">
        <v>129</v>
      </c>
      <c r="C405" s="27">
        <f t="shared" ref="C405:C406" si="184">$C$232</f>
        <v>45187</v>
      </c>
      <c r="D405" s="27">
        <f t="shared" ref="D405:D406" si="185">$D$232</f>
        <v>45244</v>
      </c>
      <c r="E405" s="45">
        <f>+NETWORKDAYS(C405,D405)</f>
        <v>42</v>
      </c>
      <c r="F405" s="46">
        <f ca="1">IF((NETWORKDAYS(C405,TODAY())/E405)&gt;1,1,IF((NETWORKDAYS(C405,TODAY())/E405)&lt;0,0,NETWORKDAYS(C405,TODAY())/E405))</f>
        <v>1</v>
      </c>
      <c r="G405" s="46">
        <v>0</v>
      </c>
      <c r="H405" s="14" t="str">
        <f t="shared" ca="1" si="183"/>
        <v>R. Grave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</row>
    <row r="406" spans="1:57" s="25" customFormat="1" ht="14.25" customHeight="1" x14ac:dyDescent="0.3">
      <c r="A406" s="54" t="s">
        <v>156</v>
      </c>
      <c r="B406" s="40" t="s">
        <v>129</v>
      </c>
      <c r="C406" s="27">
        <f t="shared" si="184"/>
        <v>45187</v>
      </c>
      <c r="D406" s="27">
        <f t="shared" si="185"/>
        <v>45244</v>
      </c>
      <c r="E406" s="45">
        <f>+NETWORKDAYS(C406,D406)</f>
        <v>42</v>
      </c>
      <c r="F406" s="46">
        <f ca="1">IF((NETWORKDAYS(C406,TODAY())/E406)&gt;1,1,IF((NETWORKDAYS(C406,TODAY())/E406)&lt;0,0,NETWORKDAYS(C406,TODAY())/E406))</f>
        <v>1</v>
      </c>
      <c r="G406" s="46">
        <v>0</v>
      </c>
      <c r="H406" s="14" t="str">
        <f t="shared" ca="1" si="183"/>
        <v>R. Grave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</row>
    <row r="407" spans="1:57" s="25" customFormat="1" ht="14.25" customHeight="1" x14ac:dyDescent="0.3">
      <c r="A407" s="54"/>
      <c r="B407" s="40"/>
      <c r="C407" s="27"/>
      <c r="D407" s="27"/>
      <c r="E407" s="45"/>
      <c r="F407" s="46"/>
      <c r="G407" s="46"/>
      <c r="H407" s="14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</row>
    <row r="408" spans="1:57" s="25" customFormat="1" ht="14.25" customHeight="1" x14ac:dyDescent="0.3">
      <c r="A408" s="35" t="s">
        <v>32</v>
      </c>
      <c r="B408" s="36"/>
      <c r="C408" s="37"/>
      <c r="D408" s="37"/>
      <c r="E408" s="38"/>
      <c r="F408" s="39"/>
      <c r="G408" s="39"/>
      <c r="H408" s="14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</row>
    <row r="409" spans="1:57" s="25" customFormat="1" ht="14.25" customHeight="1" x14ac:dyDescent="0.3">
      <c r="A409" s="54"/>
      <c r="B409" s="57"/>
      <c r="C409" s="41"/>
      <c r="D409" s="41"/>
      <c r="E409" s="42"/>
      <c r="F409" s="43"/>
      <c r="G409" s="43"/>
      <c r="H409" s="56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</row>
    <row r="410" spans="1:57" s="25" customFormat="1" ht="14.25" customHeight="1" x14ac:dyDescent="0.3">
      <c r="A410" s="29" t="s">
        <v>153</v>
      </c>
      <c r="B410" s="57" t="s">
        <v>61</v>
      </c>
      <c r="C410" s="27">
        <f t="shared" ref="C410:C411" si="186">$C$252</f>
        <v>45145</v>
      </c>
      <c r="D410" s="27">
        <f t="shared" ref="D410:D411" si="187">$D$252</f>
        <v>45236</v>
      </c>
      <c r="E410" s="45">
        <f>+NETWORKDAYS(C410,D410)</f>
        <v>66</v>
      </c>
      <c r="F410" s="46">
        <f ca="1">IF((NETWORKDAYS(C410,TODAY())/E410)&gt;1,1,IF((NETWORKDAYS(C410,TODAY())/E410)&lt;0,0,NETWORKDAYS(C410,TODAY())/E410))</f>
        <v>1</v>
      </c>
      <c r="G410" s="46">
        <v>0</v>
      </c>
      <c r="H410" s="14" t="str">
        <f t="shared" ref="H410:H411" ca="1" si="188">+IF(F410=0,"Pendiente",IF(G410=100%,"Terminado",IF(G410&gt;=F410,"En Tiempo",IF((G410/F410)&gt;=75%,IF((G410/F410)&lt;=99.9%,"R. Leve"),IF((G410/F410)&gt;=50%,IF((G410/F410)&lt;=74%,"R. Medio"),IF((G410/F410)&gt;=50%,IF((G410/F410)&gt;=49%,"R. Crítico"),IF(F410=0,"Pendiente",IF(G410=100%,"Terminado",IF(G410=F410,"En Tiempo",IF(G410&lt;F410,"R. Grave",IF(G410&gt;F410,"Adelantado","")))))))))))</f>
        <v>R. Grave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</row>
    <row r="411" spans="1:57" s="25" customFormat="1" ht="14.25" customHeight="1" x14ac:dyDescent="0.3">
      <c r="A411" s="29" t="s">
        <v>154</v>
      </c>
      <c r="B411" s="57" t="s">
        <v>61</v>
      </c>
      <c r="C411" s="27">
        <f t="shared" si="186"/>
        <v>45145</v>
      </c>
      <c r="D411" s="27">
        <f t="shared" si="187"/>
        <v>45236</v>
      </c>
      <c r="E411" s="45">
        <f>+NETWORKDAYS(C411,D411)</f>
        <v>66</v>
      </c>
      <c r="F411" s="46">
        <f ca="1">IF((NETWORKDAYS(C411,TODAY())/E411)&gt;1,1,IF((NETWORKDAYS(C411,TODAY())/E411)&lt;0,0,NETWORKDAYS(C411,TODAY())/E411))</f>
        <v>1</v>
      </c>
      <c r="G411" s="46">
        <v>0</v>
      </c>
      <c r="H411" s="14" t="str">
        <f t="shared" ca="1" si="188"/>
        <v>R. Grave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</row>
    <row r="412" spans="1:57" s="25" customFormat="1" ht="14.25" customHeight="1" x14ac:dyDescent="0.3">
      <c r="A412" s="54"/>
      <c r="B412" s="57"/>
      <c r="C412" s="27"/>
      <c r="D412" s="27"/>
      <c r="E412" s="45"/>
      <c r="F412" s="46"/>
      <c r="G412" s="46"/>
      <c r="H412" s="56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</row>
    <row r="413" spans="1:57" s="25" customFormat="1" ht="14.25" customHeight="1" x14ac:dyDescent="0.3">
      <c r="A413" s="29" t="s">
        <v>155</v>
      </c>
      <c r="B413" s="57" t="s">
        <v>129</v>
      </c>
      <c r="C413" s="27">
        <f t="shared" ref="C413:C414" si="189">$C$252</f>
        <v>45145</v>
      </c>
      <c r="D413" s="27">
        <f t="shared" ref="D413:D414" si="190">$D$252</f>
        <v>45236</v>
      </c>
      <c r="E413" s="45">
        <f>+NETWORKDAYS(C413,D413)</f>
        <v>66</v>
      </c>
      <c r="F413" s="46">
        <f ca="1">IF((NETWORKDAYS(C413,TODAY())/E413)&gt;1,1,IF((NETWORKDAYS(C413,TODAY())/E413)&lt;0,0,NETWORKDAYS(C413,TODAY())/E413))</f>
        <v>1</v>
      </c>
      <c r="G413" s="46">
        <v>0</v>
      </c>
      <c r="H413" s="14" t="str">
        <f t="shared" ref="H413:H414" ca="1" si="191">+IF(F413=0,"Pendiente",IF(G413=100%,"Terminado",IF(G413&gt;=F413,"En Tiempo",IF((G413/F413)&gt;=75%,IF((G413/F413)&lt;=99.9%,"R. Leve"),IF((G413/F413)&gt;=50%,IF((G413/F413)&lt;=74%,"R. Medio"),IF((G413/F413)&gt;=50%,IF((G413/F413)&gt;=49%,"R. Crítico"),IF(F413=0,"Pendiente",IF(G413=100%,"Terminado",IF(G413=F413,"En Tiempo",IF(G413&lt;F413,"R. Grave",IF(G413&gt;F413,"Adelantado","")))))))))))</f>
        <v>R. Grave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</row>
    <row r="414" spans="1:57" s="25" customFormat="1" ht="14.25" customHeight="1" x14ac:dyDescent="0.3">
      <c r="A414" s="54" t="s">
        <v>156</v>
      </c>
      <c r="B414" s="40" t="s">
        <v>129</v>
      </c>
      <c r="C414" s="27">
        <f t="shared" si="189"/>
        <v>45145</v>
      </c>
      <c r="D414" s="27">
        <f t="shared" si="190"/>
        <v>45236</v>
      </c>
      <c r="E414" s="45">
        <f>+NETWORKDAYS(C414,D414)</f>
        <v>66</v>
      </c>
      <c r="F414" s="46">
        <f ca="1">IF((NETWORKDAYS(C414,TODAY())/E414)&gt;1,1,IF((NETWORKDAYS(C414,TODAY())/E414)&lt;0,0,NETWORKDAYS(C414,TODAY())/E414))</f>
        <v>1</v>
      </c>
      <c r="G414" s="46">
        <v>0</v>
      </c>
      <c r="H414" s="14" t="str">
        <f t="shared" ca="1" si="191"/>
        <v>R. Grave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</row>
    <row r="415" spans="1:57" s="25" customFormat="1" ht="14.25" customHeight="1" x14ac:dyDescent="0.3">
      <c r="A415" s="54"/>
      <c r="B415" s="40"/>
      <c r="C415" s="27"/>
      <c r="D415" s="27"/>
      <c r="E415" s="45"/>
      <c r="F415" s="46"/>
      <c r="G415" s="46"/>
      <c r="H415" s="14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</row>
    <row r="416" spans="1:57" s="25" customFormat="1" ht="14.25" customHeight="1" x14ac:dyDescent="0.3">
      <c r="A416" s="35" t="s">
        <v>32</v>
      </c>
      <c r="B416" s="36"/>
      <c r="C416" s="37"/>
      <c r="D416" s="37"/>
      <c r="E416" s="38"/>
      <c r="F416" s="39"/>
      <c r="G416" s="39"/>
      <c r="H416" s="14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</row>
    <row r="417" spans="1:57" s="25" customFormat="1" ht="14.25" customHeight="1" x14ac:dyDescent="0.3">
      <c r="A417" s="54"/>
      <c r="B417" s="57"/>
      <c r="C417" s="41"/>
      <c r="D417" s="41"/>
      <c r="E417" s="42"/>
      <c r="F417" s="43"/>
      <c r="G417" s="43"/>
      <c r="H417" s="56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</row>
    <row r="418" spans="1:57" s="25" customFormat="1" ht="14.25" customHeight="1" x14ac:dyDescent="0.3">
      <c r="A418" s="29" t="s">
        <v>153</v>
      </c>
      <c r="B418" s="57" t="s">
        <v>61</v>
      </c>
      <c r="C418" s="27">
        <f t="shared" ref="C418:C419" si="192">$C$252</f>
        <v>45145</v>
      </c>
      <c r="D418" s="27">
        <f t="shared" ref="D418:D419" si="193">$D$252</f>
        <v>45236</v>
      </c>
      <c r="E418" s="45">
        <f>+NETWORKDAYS(C418,D418)</f>
        <v>66</v>
      </c>
      <c r="F418" s="46">
        <f ca="1">IF((NETWORKDAYS(C418,TODAY())/E418)&gt;1,1,IF((NETWORKDAYS(C418,TODAY())/E418)&lt;0,0,NETWORKDAYS(C418,TODAY())/E418))</f>
        <v>1</v>
      </c>
      <c r="G418" s="46">
        <v>0</v>
      </c>
      <c r="H418" s="14" t="str">
        <f t="shared" ref="H418:H419" ca="1" si="194">+IF(F418=0,"Pendiente",IF(G418=100%,"Terminado",IF(G418&gt;=F418,"En Tiempo",IF((G418/F418)&gt;=75%,IF((G418/F418)&lt;=99.9%,"R. Leve"),IF((G418/F418)&gt;=50%,IF((G418/F418)&lt;=74%,"R. Medio"),IF((G418/F418)&gt;=50%,IF((G418/F418)&gt;=49%,"R. Crítico"),IF(F418=0,"Pendiente",IF(G418=100%,"Terminado",IF(G418=F418,"En Tiempo",IF(G418&lt;F418,"R. Grave",IF(G418&gt;F418,"Adelantado","")))))))))))</f>
        <v>R. Grave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</row>
    <row r="419" spans="1:57" s="25" customFormat="1" ht="14.25" customHeight="1" x14ac:dyDescent="0.3">
      <c r="A419" s="29" t="s">
        <v>154</v>
      </c>
      <c r="B419" s="57" t="s">
        <v>61</v>
      </c>
      <c r="C419" s="27">
        <f t="shared" si="192"/>
        <v>45145</v>
      </c>
      <c r="D419" s="27">
        <f t="shared" si="193"/>
        <v>45236</v>
      </c>
      <c r="E419" s="45">
        <f>+NETWORKDAYS(C419,D419)</f>
        <v>66</v>
      </c>
      <c r="F419" s="46">
        <f ca="1">IF((NETWORKDAYS(C419,TODAY())/E419)&gt;1,1,IF((NETWORKDAYS(C419,TODAY())/E419)&lt;0,0,NETWORKDAYS(C419,TODAY())/E419))</f>
        <v>1</v>
      </c>
      <c r="G419" s="46">
        <v>0</v>
      </c>
      <c r="H419" s="14" t="str">
        <f t="shared" ca="1" si="194"/>
        <v>R. Grave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</row>
    <row r="420" spans="1:57" s="25" customFormat="1" ht="14.25" customHeight="1" x14ac:dyDescent="0.3">
      <c r="A420" s="54"/>
      <c r="B420" s="57"/>
      <c r="C420" s="27"/>
      <c r="D420" s="27"/>
      <c r="E420" s="45"/>
      <c r="F420" s="46"/>
      <c r="G420" s="46"/>
      <c r="H420" s="56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</row>
    <row r="421" spans="1:57" s="25" customFormat="1" ht="14.25" customHeight="1" x14ac:dyDescent="0.3">
      <c r="A421" s="29" t="s">
        <v>155</v>
      </c>
      <c r="B421" s="57" t="s">
        <v>129</v>
      </c>
      <c r="C421" s="27">
        <f t="shared" ref="C421:C422" si="195">$C$252</f>
        <v>45145</v>
      </c>
      <c r="D421" s="27">
        <f t="shared" ref="D421:D422" si="196">$D$252</f>
        <v>45236</v>
      </c>
      <c r="E421" s="45">
        <f>+NETWORKDAYS(C421,D421)</f>
        <v>66</v>
      </c>
      <c r="F421" s="46">
        <f ca="1">IF((NETWORKDAYS(C421,TODAY())/E421)&gt;1,1,IF((NETWORKDAYS(C421,TODAY())/E421)&lt;0,0,NETWORKDAYS(C421,TODAY())/E421))</f>
        <v>1</v>
      </c>
      <c r="G421" s="46">
        <v>0</v>
      </c>
      <c r="H421" s="14" t="str">
        <f t="shared" ref="H421:H422" ca="1" si="197">+IF(F421=0,"Pendiente",IF(G421=100%,"Terminado",IF(G421&gt;=F421,"En Tiempo",IF((G421/F421)&gt;=75%,IF((G421/F421)&lt;=99.9%,"R. Leve"),IF((G421/F421)&gt;=50%,IF((G421/F421)&lt;=74%,"R. Medio"),IF((G421/F421)&gt;=50%,IF((G421/F421)&gt;=49%,"R. Crítico"),IF(F421=0,"Pendiente",IF(G421=100%,"Terminado",IF(G421=F421,"En Tiempo",IF(G421&lt;F421,"R. Grave",IF(G421&gt;F421,"Adelantado","")))))))))))</f>
        <v>R. Grave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</row>
    <row r="422" spans="1:57" s="25" customFormat="1" ht="14.25" customHeight="1" x14ac:dyDescent="0.3">
      <c r="A422" s="54" t="s">
        <v>156</v>
      </c>
      <c r="B422" s="40" t="s">
        <v>129</v>
      </c>
      <c r="C422" s="27">
        <f t="shared" si="195"/>
        <v>45145</v>
      </c>
      <c r="D422" s="27">
        <f t="shared" si="196"/>
        <v>45236</v>
      </c>
      <c r="E422" s="45">
        <f>+NETWORKDAYS(C422,D422)</f>
        <v>66</v>
      </c>
      <c r="F422" s="46">
        <f ca="1">IF((NETWORKDAYS(C422,TODAY())/E422)&gt;1,1,IF((NETWORKDAYS(C422,TODAY())/E422)&lt;0,0,NETWORKDAYS(C422,TODAY())/E422))</f>
        <v>1</v>
      </c>
      <c r="G422" s="46">
        <v>0</v>
      </c>
      <c r="H422" s="14" t="str">
        <f t="shared" ca="1" si="197"/>
        <v>R. Grave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</row>
    <row r="423" spans="1:57" s="25" customFormat="1" ht="14.25" customHeight="1" x14ac:dyDescent="0.3">
      <c r="A423" s="54"/>
      <c r="B423" s="57"/>
      <c r="C423" s="27"/>
      <c r="D423" s="27"/>
      <c r="E423" s="45"/>
      <c r="F423" s="46"/>
      <c r="G423" s="46"/>
      <c r="H423" s="56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</row>
  </sheetData>
  <autoFilter ref="A4:G423" xr:uid="{D2A62D59-AED2-4531-B8AE-D49C13354E71}"/>
  <conditionalFormatting sqref="H2 H8:H13 H17:H74 H78:H90 H92:H94 H96:H116 H120:H127 H131:H143 H168:H234">
    <cfRule type="containsText" dxfId="315" priority="318" operator="containsText" text="R. Grave">
      <formula>NOT(ISERROR(SEARCH("R. Grave",H2)))</formula>
    </cfRule>
  </conditionalFormatting>
  <conditionalFormatting sqref="H2 H8:H13 H17:H74 H168:H234 H78:H90 H92:H94 H96:H116 H120:H127 H131:H143">
    <cfRule type="containsText" dxfId="314" priority="317" operator="containsText" text="R. Crítico">
      <formula>NOT(ISERROR(SEARCH("R. Crítico",H2)))</formula>
    </cfRule>
  </conditionalFormatting>
  <conditionalFormatting sqref="H2 H8:H13 H22 H29:H34 H36:H41 H43:H53 H78:H90 H92:H94 H96:H116 H120:H127 H131:H143 H168:H234 H387:H389 H395:H399 H401:H407 H409:H415 H417:H423 H379:H381">
    <cfRule type="containsText" dxfId="313" priority="322" operator="containsText" text="Terminado">
      <formula>NOT(ISERROR(SEARCH("Terminado",H2)))</formula>
    </cfRule>
  </conditionalFormatting>
  <conditionalFormatting sqref="H2 H8:H13 H22 H29:H34 H36:H41 H43:H53 H78:H90 H92:H94 H96:H116 H120:H127 H131:H143 H168:H234 H387:H389 H395:H399 H401:H407 H409:H415 H417:H423">
    <cfRule type="containsText" dxfId="312" priority="320" operator="containsText" text="R. Leve">
      <formula>NOT(ISERROR(SEARCH("R. Leve",H2)))</formula>
    </cfRule>
    <cfRule type="containsText" dxfId="311" priority="321" operator="containsText" text="En Tiempo">
      <formula>NOT(ISERROR(SEARCH("En Tiempo",H2)))</formula>
    </cfRule>
  </conditionalFormatting>
  <conditionalFormatting sqref="H2 H8:H13 H22 H29:H34 H36:H41 H43:H53 H78:H90 H92:H94 H96:H116 H120:H127 H131:H143 H168:H234 H395:H399 H401:H407 H409:H415 H417:H423 H387:H389">
    <cfRule type="containsText" dxfId="310" priority="319" operator="containsText" text="R. Medio">
      <formula>NOT(ISERROR(SEARCH("R. Medio",H2)))</formula>
    </cfRule>
  </conditionalFormatting>
  <conditionalFormatting sqref="H17:H25 H29:H34 H36:H41 H43:H68 H2 H8:H13">
    <cfRule type="containsText" dxfId="309" priority="316" operator="containsText" text="Pendiente">
      <formula>NOT(ISERROR(SEARCH("Pendiente",H2)))</formula>
    </cfRule>
  </conditionalFormatting>
  <conditionalFormatting sqref="H17:H74 H180:H182 H184:H185 H231:H248 H251:H268 H271:H289">
    <cfRule type="containsText" dxfId="308" priority="310" operator="containsText" text="R. Leve">
      <formula>NOT(ISERROR(SEARCH("R. Leve",H17)))</formula>
    </cfRule>
    <cfRule type="containsText" dxfId="307" priority="311" operator="containsText" text="En Tiempo">
      <formula>NOT(ISERROR(SEARCH("En Tiempo",H17)))</formula>
    </cfRule>
    <cfRule type="containsText" dxfId="306" priority="312" operator="containsText" text="Terminado">
      <formula>NOT(ISERROR(SEARCH("Terminado",H17)))</formula>
    </cfRule>
  </conditionalFormatting>
  <conditionalFormatting sqref="H20:H25">
    <cfRule type="containsText" dxfId="305" priority="173" operator="containsText" text="R. Crítico">
      <formula>NOT(ISERROR(SEARCH("R. Crítico",H20)))</formula>
    </cfRule>
    <cfRule type="containsText" dxfId="304" priority="174" operator="containsText" text="R. Grave">
      <formula>NOT(ISERROR(SEARCH("R. Grave",H20)))</formula>
    </cfRule>
    <cfRule type="containsText" dxfId="303" priority="175" operator="containsText" text="R. Medio">
      <formula>NOT(ISERROR(SEARCH("R. Medio",H20)))</formula>
    </cfRule>
    <cfRule type="containsText" dxfId="302" priority="176" operator="containsText" text="R. Leve">
      <formula>NOT(ISERROR(SEARCH("R. Leve",H20)))</formula>
    </cfRule>
    <cfRule type="containsText" dxfId="301" priority="177" operator="containsText" text="En Tiempo">
      <formula>NOT(ISERROR(SEARCH("En Tiempo",H20)))</formula>
    </cfRule>
    <cfRule type="containsText" dxfId="300" priority="178" operator="containsText" text="Terminado">
      <formula>NOT(ISERROR(SEARCH("Terminado",H20)))</formula>
    </cfRule>
  </conditionalFormatting>
  <conditionalFormatting sqref="H61">
    <cfRule type="containsText" dxfId="299" priority="270" operator="containsText" text="Pendiente">
      <formula>NOT(ISERROR(SEARCH("Pendiente",H61)))</formula>
    </cfRule>
    <cfRule type="containsText" dxfId="298" priority="271" operator="containsText" text="R. Crítico">
      <formula>NOT(ISERROR(SEARCH("R. Crítico",H61)))</formula>
    </cfRule>
    <cfRule type="containsText" dxfId="297" priority="272" operator="containsText" text="R. Grave">
      <formula>NOT(ISERROR(SEARCH("R. Grave",H61)))</formula>
    </cfRule>
    <cfRule type="containsText" dxfId="296" priority="273" operator="containsText" text="R. Medio">
      <formula>NOT(ISERROR(SEARCH("R. Medio",H61)))</formula>
    </cfRule>
    <cfRule type="containsText" dxfId="295" priority="274" operator="containsText" text="R. Leve">
      <formula>NOT(ISERROR(SEARCH("R. Leve",H61)))</formula>
    </cfRule>
    <cfRule type="containsText" dxfId="294" priority="275" operator="containsText" text="En Tiempo">
      <formula>NOT(ISERROR(SEARCH("En Tiempo",H61)))</formula>
    </cfRule>
    <cfRule type="containsText" dxfId="293" priority="276" operator="containsText" text="Terminado">
      <formula>NOT(ISERROR(SEARCH("Terminado",H61)))</formula>
    </cfRule>
  </conditionalFormatting>
  <conditionalFormatting sqref="H63:H76">
    <cfRule type="containsText" dxfId="292" priority="264" operator="containsText" text="R. Crítico">
      <formula>NOT(ISERROR(SEARCH("R. Crítico",H63)))</formula>
    </cfRule>
    <cfRule type="containsText" dxfId="291" priority="265" operator="containsText" text="R. Grave">
      <formula>NOT(ISERROR(SEARCH("R. Grave",H63)))</formula>
    </cfRule>
    <cfRule type="containsText" dxfId="290" priority="266" operator="containsText" text="R. Medio">
      <formula>NOT(ISERROR(SEARCH("R. Medio",H63)))</formula>
    </cfRule>
    <cfRule type="containsText" dxfId="289" priority="267" operator="containsText" text="R. Leve">
      <formula>NOT(ISERROR(SEARCH("R. Leve",H63)))</formula>
    </cfRule>
    <cfRule type="containsText" dxfId="288" priority="268" operator="containsText" text="En Tiempo">
      <formula>NOT(ISERROR(SEARCH("En Tiempo",H63)))</formula>
    </cfRule>
    <cfRule type="containsText" dxfId="287" priority="269" operator="containsText" text="Terminado">
      <formula>NOT(ISERROR(SEARCH("Terminado",H63)))</formula>
    </cfRule>
  </conditionalFormatting>
  <conditionalFormatting sqref="H66:H68 H71 H73:H74">
    <cfRule type="containsText" dxfId="286" priority="306" operator="containsText" text="Pendiente">
      <formula>NOT(ISERROR(SEARCH("Pendiente",H66)))</formula>
    </cfRule>
  </conditionalFormatting>
  <conditionalFormatting sqref="H69:H76">
    <cfRule type="containsText" dxfId="285" priority="263" operator="containsText" text="Pendiente">
      <formula>NOT(ISERROR(SEARCH("Pendiente",H69)))</formula>
    </cfRule>
  </conditionalFormatting>
  <conditionalFormatting sqref="H78:H83">
    <cfRule type="containsText" dxfId="284" priority="256" operator="containsText" text="Pendiente">
      <formula>NOT(ISERROR(SEARCH("Pendiente",H78)))</formula>
    </cfRule>
  </conditionalFormatting>
  <conditionalFormatting sqref="H81:H83">
    <cfRule type="containsText" dxfId="283" priority="257" operator="containsText" text="R. Crítico">
      <formula>NOT(ISERROR(SEARCH("R. Crítico",H81)))</formula>
    </cfRule>
    <cfRule type="containsText" dxfId="282" priority="258" operator="containsText" text="R. Grave">
      <formula>NOT(ISERROR(SEARCH("R. Grave",H81)))</formula>
    </cfRule>
    <cfRule type="containsText" dxfId="281" priority="259" operator="containsText" text="R. Medio">
      <formula>NOT(ISERROR(SEARCH("R. Medio",H81)))</formula>
    </cfRule>
    <cfRule type="containsText" dxfId="280" priority="260" operator="containsText" text="R. Leve">
      <formula>NOT(ISERROR(SEARCH("R. Leve",H81)))</formula>
    </cfRule>
    <cfRule type="containsText" dxfId="279" priority="261" operator="containsText" text="En Tiempo">
      <formula>NOT(ISERROR(SEARCH("En Tiempo",H81)))</formula>
    </cfRule>
    <cfRule type="containsText" dxfId="278" priority="262" operator="containsText" text="Terminado">
      <formula>NOT(ISERROR(SEARCH("Terminado",H81)))</formula>
    </cfRule>
  </conditionalFormatting>
  <conditionalFormatting sqref="H131:H248 H250:H268 H270:H289 H88:H90 H92:H94 H96:H116 H120:H127">
    <cfRule type="containsText" dxfId="277" priority="172" operator="containsText" text="Pendiente">
      <formula>NOT(ISERROR(SEARCH("Pendiente",H88)))</formula>
    </cfRule>
  </conditionalFormatting>
  <conditionalFormatting sqref="H145 H152 H161">
    <cfRule type="containsText" dxfId="276" priority="300" operator="containsText" text="R. Crítico">
      <formula>NOT(ISERROR(SEARCH("R. Crítico",H145)))</formula>
    </cfRule>
    <cfRule type="containsText" dxfId="275" priority="301" operator="containsText" text="R. Grave">
      <formula>NOT(ISERROR(SEARCH("R. Grave",H145)))</formula>
    </cfRule>
    <cfRule type="containsText" dxfId="274" priority="302" operator="containsText" text="R. Medio">
      <formula>NOT(ISERROR(SEARCH("R. Medio",H145)))</formula>
    </cfRule>
    <cfRule type="containsText" dxfId="273" priority="303" operator="containsText" text="R. Leve">
      <formula>NOT(ISERROR(SEARCH("R. Leve",H145)))</formula>
    </cfRule>
    <cfRule type="containsText" dxfId="272" priority="304" operator="containsText" text="En Tiempo">
      <formula>NOT(ISERROR(SEARCH("En Tiempo",H145)))</formula>
    </cfRule>
    <cfRule type="containsText" dxfId="271" priority="305" operator="containsText" text="Terminado">
      <formula>NOT(ISERROR(SEARCH("Terminado",H145)))</formula>
    </cfRule>
  </conditionalFormatting>
  <conditionalFormatting sqref="H147:H150">
    <cfRule type="containsText" dxfId="270" priority="250" operator="containsText" text="R. Crítico">
      <formula>NOT(ISERROR(SEARCH("R. Crítico",H147)))</formula>
    </cfRule>
    <cfRule type="containsText" dxfId="269" priority="251" operator="containsText" text="R. Grave">
      <formula>NOT(ISERROR(SEARCH("R. Grave",H147)))</formula>
    </cfRule>
    <cfRule type="containsText" dxfId="268" priority="252" operator="containsText" text="R. Medio">
      <formula>NOT(ISERROR(SEARCH("R. Medio",H147)))</formula>
    </cfRule>
    <cfRule type="containsText" dxfId="267" priority="253" operator="containsText" text="R. Leve">
      <formula>NOT(ISERROR(SEARCH("R. Leve",H147)))</formula>
    </cfRule>
    <cfRule type="containsText" dxfId="266" priority="254" operator="containsText" text="En Tiempo">
      <formula>NOT(ISERROR(SEARCH("En Tiempo",H147)))</formula>
    </cfRule>
    <cfRule type="containsText" dxfId="265" priority="255" operator="containsText" text="Terminado">
      <formula>NOT(ISERROR(SEARCH("Terminado",H147)))</formula>
    </cfRule>
  </conditionalFormatting>
  <conditionalFormatting sqref="H154:H159">
    <cfRule type="containsText" dxfId="264" priority="244" operator="containsText" text="R. Crítico">
      <formula>NOT(ISERROR(SEARCH("R. Crítico",H154)))</formula>
    </cfRule>
    <cfRule type="containsText" dxfId="263" priority="245" operator="containsText" text="R. Grave">
      <formula>NOT(ISERROR(SEARCH("R. Grave",H154)))</formula>
    </cfRule>
    <cfRule type="containsText" dxfId="262" priority="246" operator="containsText" text="R. Medio">
      <formula>NOT(ISERROR(SEARCH("R. Medio",H154)))</formula>
    </cfRule>
    <cfRule type="containsText" dxfId="261" priority="247" operator="containsText" text="R. Leve">
      <formula>NOT(ISERROR(SEARCH("R. Leve",H154)))</formula>
    </cfRule>
    <cfRule type="containsText" dxfId="260" priority="248" operator="containsText" text="En Tiempo">
      <formula>NOT(ISERROR(SEARCH("En Tiempo",H154)))</formula>
    </cfRule>
    <cfRule type="containsText" dxfId="259" priority="249" operator="containsText" text="Terminado">
      <formula>NOT(ISERROR(SEARCH("Terminado",H154)))</formula>
    </cfRule>
  </conditionalFormatting>
  <conditionalFormatting sqref="H163:H166">
    <cfRule type="containsText" dxfId="258" priority="238" operator="containsText" text="R. Crítico">
      <formula>NOT(ISERROR(SEARCH("R. Crítico",H163)))</formula>
    </cfRule>
    <cfRule type="containsText" dxfId="257" priority="239" operator="containsText" text="R. Grave">
      <formula>NOT(ISERROR(SEARCH("R. Grave",H163)))</formula>
    </cfRule>
    <cfRule type="containsText" dxfId="256" priority="240" operator="containsText" text="R. Medio">
      <formula>NOT(ISERROR(SEARCH("R. Medio",H163)))</formula>
    </cfRule>
    <cfRule type="containsText" dxfId="255" priority="241" operator="containsText" text="R. Leve">
      <formula>NOT(ISERROR(SEARCH("R. Leve",H163)))</formula>
    </cfRule>
    <cfRule type="containsText" dxfId="254" priority="242" operator="containsText" text="En Tiempo">
      <formula>NOT(ISERROR(SEARCH("En Tiempo",H163)))</formula>
    </cfRule>
    <cfRule type="containsText" dxfId="253" priority="243" operator="containsText" text="Terminado">
      <formula>NOT(ISERROR(SEARCH("Terminado",H163)))</formula>
    </cfRule>
  </conditionalFormatting>
  <conditionalFormatting sqref="H168:H169">
    <cfRule type="containsText" dxfId="252" priority="115" operator="containsText" text="Pendiente">
      <formula>NOT(ISERROR(SEARCH("Pendiente",H168)))</formula>
    </cfRule>
    <cfRule type="containsText" dxfId="251" priority="116" operator="containsText" text="R. Crítico">
      <formula>NOT(ISERROR(SEARCH("R. Crítico",H168)))</formula>
    </cfRule>
    <cfRule type="containsText" dxfId="250" priority="117" operator="containsText" text="R. Grave">
      <formula>NOT(ISERROR(SEARCH("R. Grave",H168)))</formula>
    </cfRule>
    <cfRule type="containsText" dxfId="249" priority="118" operator="containsText" text="R. Medio">
      <formula>NOT(ISERROR(SEARCH("R. Medio",H168)))</formula>
    </cfRule>
    <cfRule type="containsText" dxfId="248" priority="119" operator="containsText" text="R. Leve">
      <formula>NOT(ISERROR(SEARCH("R. Leve",H168)))</formula>
    </cfRule>
    <cfRule type="containsText" dxfId="247" priority="120" operator="containsText" text="En Tiempo">
      <formula>NOT(ISERROR(SEARCH("En Tiempo",H168)))</formula>
    </cfRule>
    <cfRule type="containsText" dxfId="246" priority="121" operator="containsText" text="Terminado">
      <formula>NOT(ISERROR(SEARCH("Terminado",H168)))</formula>
    </cfRule>
  </conditionalFormatting>
  <conditionalFormatting sqref="H176:H178">
    <cfRule type="containsText" dxfId="245" priority="232" operator="containsText" text="R. Crítico">
      <formula>NOT(ISERROR(SEARCH("R. Crítico",H176)))</formula>
    </cfRule>
    <cfRule type="containsText" dxfId="244" priority="233" operator="containsText" text="R. Grave">
      <formula>NOT(ISERROR(SEARCH("R. Grave",H176)))</formula>
    </cfRule>
    <cfRule type="containsText" dxfId="243" priority="234" operator="containsText" text="R. Medio">
      <formula>NOT(ISERROR(SEARCH("R. Medio",H176)))</formula>
    </cfRule>
    <cfRule type="containsText" dxfId="242" priority="235" operator="containsText" text="R. Leve">
      <formula>NOT(ISERROR(SEARCH("R. Leve",H176)))</formula>
    </cfRule>
    <cfRule type="containsText" dxfId="241" priority="236" operator="containsText" text="En Tiempo">
      <formula>NOT(ISERROR(SEARCH("En Tiempo",H176)))</formula>
    </cfRule>
    <cfRule type="containsText" dxfId="240" priority="237" operator="containsText" text="Terminado">
      <formula>NOT(ISERROR(SEARCH("Terminado",H176)))</formula>
    </cfRule>
  </conditionalFormatting>
  <conditionalFormatting sqref="H180:H182 H184:H185 H231:H248 H251:H268 H271:H289 H17:H74">
    <cfRule type="containsText" dxfId="239" priority="309" operator="containsText" text="R. Medio">
      <formula>NOT(ISERROR(SEARCH("R. Medio",H17)))</formula>
    </cfRule>
  </conditionalFormatting>
  <conditionalFormatting sqref="H180:H182 H184:H185 H231:H248 H251:H268 H271:H289">
    <cfRule type="containsText" dxfId="238" priority="308" operator="containsText" text="R. Grave">
      <formula>NOT(ISERROR(SEARCH("R. Grave",H180)))</formula>
    </cfRule>
  </conditionalFormatting>
  <conditionalFormatting sqref="H188:H189 H207:H208 H226">
    <cfRule type="containsText" dxfId="237" priority="226" operator="containsText" text="R. Crítico">
      <formula>NOT(ISERROR(SEARCH("R. Crítico",H188)))</formula>
    </cfRule>
    <cfRule type="containsText" dxfId="236" priority="227" operator="containsText" text="R. Grave">
      <formula>NOT(ISERROR(SEARCH("R. Grave",H188)))</formula>
    </cfRule>
    <cfRule type="containsText" dxfId="235" priority="228" operator="containsText" text="R. Medio">
      <formula>NOT(ISERROR(SEARCH("R. Medio",H188)))</formula>
    </cfRule>
    <cfRule type="containsText" dxfId="234" priority="229" operator="containsText" text="R. Leve">
      <formula>NOT(ISERROR(SEARCH("R. Leve",H188)))</formula>
    </cfRule>
    <cfRule type="containsText" dxfId="233" priority="230" operator="containsText" text="En Tiempo">
      <formula>NOT(ISERROR(SEARCH("En Tiempo",H188)))</formula>
    </cfRule>
    <cfRule type="containsText" dxfId="232" priority="231" operator="containsText" text="Terminado">
      <formula>NOT(ISERROR(SEARCH("Terminado",H188)))</formula>
    </cfRule>
  </conditionalFormatting>
  <conditionalFormatting sqref="H195:H197">
    <cfRule type="containsText" dxfId="231" priority="160" operator="containsText" text="R. Crítico">
      <formula>NOT(ISERROR(SEARCH("R. Crítico",H195)))</formula>
    </cfRule>
    <cfRule type="containsText" dxfId="230" priority="161" operator="containsText" text="R. Grave">
      <formula>NOT(ISERROR(SEARCH("R. Grave",H195)))</formula>
    </cfRule>
    <cfRule type="containsText" dxfId="229" priority="162" operator="containsText" text="R. Medio">
      <formula>NOT(ISERROR(SEARCH("R. Medio",H195)))</formula>
    </cfRule>
    <cfRule type="containsText" dxfId="228" priority="163" operator="containsText" text="R. Leve">
      <formula>NOT(ISERROR(SEARCH("R. Leve",H195)))</formula>
    </cfRule>
    <cfRule type="containsText" dxfId="227" priority="164" operator="containsText" text="En Tiempo">
      <formula>NOT(ISERROR(SEARCH("En Tiempo",H195)))</formula>
    </cfRule>
    <cfRule type="containsText" dxfId="226" priority="165" operator="containsText" text="Terminado">
      <formula>NOT(ISERROR(SEARCH("Terminado",H195)))</formula>
    </cfRule>
  </conditionalFormatting>
  <conditionalFormatting sqref="H199:H201 H203:H204">
    <cfRule type="containsText" dxfId="225" priority="166" operator="containsText" text="R. Crítico">
      <formula>NOT(ISERROR(SEARCH("R. Crítico",H199)))</formula>
    </cfRule>
    <cfRule type="containsText" dxfId="224" priority="167" operator="containsText" text="R. Grave">
      <formula>NOT(ISERROR(SEARCH("R. Grave",H199)))</formula>
    </cfRule>
    <cfRule type="containsText" dxfId="223" priority="168" operator="containsText" text="R. Medio">
      <formula>NOT(ISERROR(SEARCH("R. Medio",H199)))</formula>
    </cfRule>
    <cfRule type="containsText" dxfId="222" priority="169" operator="containsText" text="R. Leve">
      <formula>NOT(ISERROR(SEARCH("R. Leve",H199)))</formula>
    </cfRule>
    <cfRule type="containsText" dxfId="221" priority="170" operator="containsText" text="En Tiempo">
      <formula>NOT(ISERROR(SEARCH("En Tiempo",H199)))</formula>
    </cfRule>
    <cfRule type="containsText" dxfId="220" priority="171" operator="containsText" text="Terminado">
      <formula>NOT(ISERROR(SEARCH("Terminado",H199)))</formula>
    </cfRule>
  </conditionalFormatting>
  <conditionalFormatting sqref="H214:H216">
    <cfRule type="containsText" dxfId="219" priority="148" operator="containsText" text="R. Crítico">
      <formula>NOT(ISERROR(SEARCH("R. Crítico",H214)))</formula>
    </cfRule>
    <cfRule type="containsText" dxfId="218" priority="149" operator="containsText" text="R. Grave">
      <formula>NOT(ISERROR(SEARCH("R. Grave",H214)))</formula>
    </cfRule>
    <cfRule type="containsText" dxfId="217" priority="150" operator="containsText" text="R. Medio">
      <formula>NOT(ISERROR(SEARCH("R. Medio",H214)))</formula>
    </cfRule>
    <cfRule type="containsText" dxfId="216" priority="151" operator="containsText" text="R. Leve">
      <formula>NOT(ISERROR(SEARCH("R. Leve",H214)))</formula>
    </cfRule>
    <cfRule type="containsText" dxfId="215" priority="152" operator="containsText" text="En Tiempo">
      <formula>NOT(ISERROR(SEARCH("En Tiempo",H214)))</formula>
    </cfRule>
    <cfRule type="containsText" dxfId="214" priority="153" operator="containsText" text="Terminado">
      <formula>NOT(ISERROR(SEARCH("Terminado",H214)))</formula>
    </cfRule>
  </conditionalFormatting>
  <conditionalFormatting sqref="H218:H220 H222:H223">
    <cfRule type="containsText" dxfId="213" priority="154" operator="containsText" text="R. Crítico">
      <formula>NOT(ISERROR(SEARCH("R. Crítico",H218)))</formula>
    </cfRule>
    <cfRule type="containsText" dxfId="212" priority="155" operator="containsText" text="R. Grave">
      <formula>NOT(ISERROR(SEARCH("R. Grave",H218)))</formula>
    </cfRule>
    <cfRule type="containsText" dxfId="211" priority="156" operator="containsText" text="R. Medio">
      <formula>NOT(ISERROR(SEARCH("R. Medio",H218)))</formula>
    </cfRule>
    <cfRule type="containsText" dxfId="210" priority="157" operator="containsText" text="R. Leve">
      <formula>NOT(ISERROR(SEARCH("R. Leve",H218)))</formula>
    </cfRule>
    <cfRule type="containsText" dxfId="209" priority="158" operator="containsText" text="En Tiempo">
      <formula>NOT(ISERROR(SEARCH("En Tiempo",H218)))</formula>
    </cfRule>
    <cfRule type="containsText" dxfId="208" priority="159" operator="containsText" text="Terminado">
      <formula>NOT(ISERROR(SEARCH("Terminado",H218)))</formula>
    </cfRule>
  </conditionalFormatting>
  <conditionalFormatting sqref="H228:H229">
    <cfRule type="containsText" dxfId="207" priority="290" operator="containsText" text="R. Crítico">
      <formula>NOT(ISERROR(SEARCH("R. Crítico",H228)))</formula>
    </cfRule>
    <cfRule type="containsText" dxfId="206" priority="291" operator="containsText" text="R. Grave">
      <formula>NOT(ISERROR(SEARCH("R. Grave",H228)))</formula>
    </cfRule>
    <cfRule type="containsText" dxfId="205" priority="292" operator="containsText" text="R. Medio">
      <formula>NOT(ISERROR(SEARCH("R. Medio",H228)))</formula>
    </cfRule>
    <cfRule type="containsText" dxfId="204" priority="293" operator="containsText" text="R. Leve">
      <formula>NOT(ISERROR(SEARCH("R. Leve",H228)))</formula>
    </cfRule>
    <cfRule type="containsText" dxfId="203" priority="294" operator="containsText" text="En Tiempo">
      <formula>NOT(ISERROR(SEARCH("En Tiempo",H228)))</formula>
    </cfRule>
    <cfRule type="containsText" dxfId="202" priority="295" operator="containsText" text="Terminado">
      <formula>NOT(ISERROR(SEARCH("Terminado",H228)))</formula>
    </cfRule>
  </conditionalFormatting>
  <conditionalFormatting sqref="H231:H248 H251:H268 H271:H289 H180:H182 H184:H185">
    <cfRule type="containsText" dxfId="201" priority="307" operator="containsText" text="R. Crítico">
      <formula>NOT(ISERROR(SEARCH("R. Crítico",H180)))</formula>
    </cfRule>
  </conditionalFormatting>
  <conditionalFormatting sqref="H242:H243">
    <cfRule type="containsText" dxfId="200" priority="216" operator="containsText" text="R. Leve">
      <formula>NOT(ISERROR(SEARCH("R. Leve",H242)))</formula>
    </cfRule>
    <cfRule type="containsText" dxfId="199" priority="217" operator="containsText" text="En Tiempo">
      <formula>NOT(ISERROR(SEARCH("En Tiempo",H242)))</formula>
    </cfRule>
    <cfRule type="containsText" dxfId="198" priority="218" operator="containsText" text="Terminado">
      <formula>NOT(ISERROR(SEARCH("Terminado",H242)))</formula>
    </cfRule>
  </conditionalFormatting>
  <conditionalFormatting sqref="H243">
    <cfRule type="containsText" dxfId="197" priority="213" operator="containsText" text="R. Crítico">
      <formula>NOT(ISERROR(SEARCH("R. Crítico",H243)))</formula>
    </cfRule>
    <cfRule type="containsText" dxfId="196" priority="214" operator="containsText" text="R. Grave">
      <formula>NOT(ISERROR(SEARCH("R. Grave",H243)))</formula>
    </cfRule>
    <cfRule type="containsText" dxfId="195" priority="215" operator="containsText" text="R. Medio">
      <formula>NOT(ISERROR(SEARCH("R. Medio",H243)))</formula>
    </cfRule>
  </conditionalFormatting>
  <conditionalFormatting sqref="H248 H268 H288">
    <cfRule type="containsText" dxfId="194" priority="207" operator="containsText" text="R. Crítico">
      <formula>NOT(ISERROR(SEARCH("R. Crítico",H248)))</formula>
    </cfRule>
    <cfRule type="containsText" dxfId="193" priority="208" operator="containsText" text="R. Grave">
      <formula>NOT(ISERROR(SEARCH("R. Grave",H248)))</formula>
    </cfRule>
    <cfRule type="containsText" dxfId="192" priority="209" operator="containsText" text="R. Medio">
      <formula>NOT(ISERROR(SEARCH("R. Medio",H248)))</formula>
    </cfRule>
    <cfRule type="containsText" dxfId="191" priority="210" operator="containsText" text="R. Leve">
      <formula>NOT(ISERROR(SEARCH("R. Leve",H248)))</formula>
    </cfRule>
    <cfRule type="containsText" dxfId="190" priority="211" operator="containsText" text="En Tiempo">
      <formula>NOT(ISERROR(SEARCH("En Tiempo",H248)))</formula>
    </cfRule>
    <cfRule type="containsText" dxfId="189" priority="212" operator="containsText" text="Terminado">
      <formula>NOT(ISERROR(SEARCH("Terminado",H248)))</formula>
    </cfRule>
  </conditionalFormatting>
  <conditionalFormatting sqref="H250:H254">
    <cfRule type="containsText" dxfId="188" priority="142" operator="containsText" text="R. Crítico">
      <formula>NOT(ISERROR(SEARCH("R. Crítico",H250)))</formula>
    </cfRule>
    <cfRule type="containsText" dxfId="187" priority="143" operator="containsText" text="R. Grave">
      <formula>NOT(ISERROR(SEARCH("R. Grave",H250)))</formula>
    </cfRule>
    <cfRule type="containsText" dxfId="186" priority="144" operator="containsText" text="R. Medio">
      <formula>NOT(ISERROR(SEARCH("R. Medio",H250)))</formula>
    </cfRule>
    <cfRule type="containsText" dxfId="185" priority="145" operator="containsText" text="R. Leve">
      <formula>NOT(ISERROR(SEARCH("R. Leve",H250)))</formula>
    </cfRule>
    <cfRule type="containsText" dxfId="184" priority="146" operator="containsText" text="En Tiempo">
      <formula>NOT(ISERROR(SEARCH("En Tiempo",H250)))</formula>
    </cfRule>
    <cfRule type="containsText" dxfId="183" priority="147" operator="containsText" text="Terminado">
      <formula>NOT(ISERROR(SEARCH("Terminado",H250)))</formula>
    </cfRule>
  </conditionalFormatting>
  <conditionalFormatting sqref="H262:H263">
    <cfRule type="containsText" dxfId="182" priority="139" operator="containsText" text="R. Leve">
      <formula>NOT(ISERROR(SEARCH("R. Leve",H262)))</formula>
    </cfRule>
    <cfRule type="containsText" dxfId="181" priority="140" operator="containsText" text="En Tiempo">
      <formula>NOT(ISERROR(SEARCH("En Tiempo",H262)))</formula>
    </cfRule>
    <cfRule type="containsText" dxfId="180" priority="141" operator="containsText" text="Terminado">
      <formula>NOT(ISERROR(SEARCH("Terminado",H262)))</formula>
    </cfRule>
  </conditionalFormatting>
  <conditionalFormatting sqref="H263">
    <cfRule type="containsText" dxfId="179" priority="135" operator="containsText" text="Pendiente">
      <formula>NOT(ISERROR(SEARCH("Pendiente",H263)))</formula>
    </cfRule>
    <cfRule type="containsText" dxfId="178" priority="136" operator="containsText" text="R. Crítico">
      <formula>NOT(ISERROR(SEARCH("R. Crítico",H263)))</formula>
    </cfRule>
    <cfRule type="containsText" dxfId="177" priority="137" operator="containsText" text="R. Grave">
      <formula>NOT(ISERROR(SEARCH("R. Grave",H263)))</formula>
    </cfRule>
    <cfRule type="containsText" dxfId="176" priority="138" operator="containsText" text="R. Medio">
      <formula>NOT(ISERROR(SEARCH("R. Medio",H263)))</formula>
    </cfRule>
  </conditionalFormatting>
  <conditionalFormatting sqref="H270:H274">
    <cfRule type="containsText" dxfId="175" priority="129" operator="containsText" text="R. Crítico">
      <formula>NOT(ISERROR(SEARCH("R. Crítico",H270)))</formula>
    </cfRule>
    <cfRule type="containsText" dxfId="174" priority="130" operator="containsText" text="R. Grave">
      <formula>NOT(ISERROR(SEARCH("R. Grave",H270)))</formula>
    </cfRule>
    <cfRule type="containsText" dxfId="173" priority="131" operator="containsText" text="R. Medio">
      <formula>NOT(ISERROR(SEARCH("R. Medio",H270)))</formula>
    </cfRule>
    <cfRule type="containsText" dxfId="172" priority="132" operator="containsText" text="R. Leve">
      <formula>NOT(ISERROR(SEARCH("R. Leve",H270)))</formula>
    </cfRule>
    <cfRule type="containsText" dxfId="171" priority="133" operator="containsText" text="En Tiempo">
      <formula>NOT(ISERROR(SEARCH("En Tiempo",H270)))</formula>
    </cfRule>
    <cfRule type="containsText" dxfId="170" priority="134" operator="containsText" text="Terminado">
      <formula>NOT(ISERROR(SEARCH("Terminado",H270)))</formula>
    </cfRule>
  </conditionalFormatting>
  <conditionalFormatting sqref="H282:H283">
    <cfRule type="containsText" dxfId="169" priority="126" operator="containsText" text="R. Leve">
      <formula>NOT(ISERROR(SEARCH("R. Leve",H282)))</formula>
    </cfRule>
    <cfRule type="containsText" dxfId="168" priority="127" operator="containsText" text="En Tiempo">
      <formula>NOT(ISERROR(SEARCH("En Tiempo",H282)))</formula>
    </cfRule>
    <cfRule type="containsText" dxfId="167" priority="128" operator="containsText" text="Terminado">
      <formula>NOT(ISERROR(SEARCH("Terminado",H282)))</formula>
    </cfRule>
  </conditionalFormatting>
  <conditionalFormatting sqref="H283">
    <cfRule type="containsText" dxfId="166" priority="122" operator="containsText" text="Pendiente">
      <formula>NOT(ISERROR(SEARCH("Pendiente",H283)))</formula>
    </cfRule>
    <cfRule type="containsText" dxfId="165" priority="123" operator="containsText" text="R. Crítico">
      <formula>NOT(ISERROR(SEARCH("R. Crítico",H283)))</formula>
    </cfRule>
    <cfRule type="containsText" dxfId="164" priority="124" operator="containsText" text="R. Grave">
      <formula>NOT(ISERROR(SEARCH("R. Grave",H283)))</formula>
    </cfRule>
    <cfRule type="containsText" dxfId="163" priority="125" operator="containsText" text="R. Medio">
      <formula>NOT(ISERROR(SEARCH("R. Medio",H283)))</formula>
    </cfRule>
  </conditionalFormatting>
  <conditionalFormatting sqref="H292:H299 H334:H345 H347:H358 H360:H373 H375:H377">
    <cfRule type="containsText" dxfId="162" priority="299" operator="containsText" text="Terminado">
      <formula>NOT(ISERROR(SEARCH("Terminado",H292)))</formula>
    </cfRule>
  </conditionalFormatting>
  <conditionalFormatting sqref="H292:H300 H334:H345 H347:H358 H360:H373 H383:H389 H391:H399">
    <cfRule type="containsText" dxfId="161" priority="219" operator="containsText" text="Pendiente">
      <formula>NOT(ISERROR(SEARCH("Pendiente",H292)))</formula>
    </cfRule>
    <cfRule type="containsText" dxfId="160" priority="220" operator="containsText" text="R. Crítico">
      <formula>NOT(ISERROR(SEARCH("R. Crítico",H292)))</formula>
    </cfRule>
    <cfRule type="containsText" dxfId="159" priority="221" operator="containsText" text="R. Grave">
      <formula>NOT(ISERROR(SEARCH("R. Grave",H292)))</formula>
    </cfRule>
  </conditionalFormatting>
  <conditionalFormatting sqref="H292:H377">
    <cfRule type="containsText" dxfId="158" priority="296" operator="containsText" text="R. Medio">
      <formula>NOT(ISERROR(SEARCH("R. Medio",H292)))</formula>
    </cfRule>
    <cfRule type="containsText" dxfId="157" priority="297" operator="containsText" text="R. Leve">
      <formula>NOT(ISERROR(SEARCH("R. Leve",H292)))</formula>
    </cfRule>
    <cfRule type="containsText" dxfId="156" priority="298" operator="containsText" text="En Tiempo">
      <formula>NOT(ISERROR(SEARCH("En Tiempo",H292)))</formula>
    </cfRule>
  </conditionalFormatting>
  <conditionalFormatting sqref="H295">
    <cfRule type="containsText" dxfId="155" priority="200" operator="containsText" text="Pendiente">
      <formula>NOT(ISERROR(SEARCH("Pendiente",H295)))</formula>
    </cfRule>
    <cfRule type="containsText" dxfId="154" priority="201" operator="containsText" text="R. Crítico">
      <formula>NOT(ISERROR(SEARCH("R. Crítico",H295)))</formula>
    </cfRule>
    <cfRule type="containsText" dxfId="153" priority="202" operator="containsText" text="R. Grave">
      <formula>NOT(ISERROR(SEARCH("R. Grave",H295)))</formula>
    </cfRule>
    <cfRule type="containsText" dxfId="152" priority="203" operator="containsText" text="R. Medio">
      <formula>NOT(ISERROR(SEARCH("R. Medio",H295)))</formula>
    </cfRule>
    <cfRule type="containsText" dxfId="151" priority="204" operator="containsText" text="R. Leve">
      <formula>NOT(ISERROR(SEARCH("R. Leve",H295)))</formula>
    </cfRule>
    <cfRule type="containsText" dxfId="150" priority="205" operator="containsText" text="En Tiempo">
      <formula>NOT(ISERROR(SEARCH("En Tiempo",H295)))</formula>
    </cfRule>
    <cfRule type="containsText" dxfId="149" priority="206" operator="containsText" text="Terminado">
      <formula>NOT(ISERROR(SEARCH("Terminado",H295)))</formula>
    </cfRule>
  </conditionalFormatting>
  <conditionalFormatting sqref="H297:H300">
    <cfRule type="containsText" dxfId="148" priority="222" operator="containsText" text="R. Medio">
      <formula>NOT(ISERROR(SEARCH("R. Medio",H297)))</formula>
    </cfRule>
    <cfRule type="containsText" dxfId="147" priority="223" operator="containsText" text="R. Leve">
      <formula>NOT(ISERROR(SEARCH("R. Leve",H297)))</formula>
    </cfRule>
  </conditionalFormatting>
  <conditionalFormatting sqref="H298">
    <cfRule type="containsText" dxfId="146" priority="193" operator="containsText" text="Pendiente">
      <formula>NOT(ISERROR(SEARCH("Pendiente",H298)))</formula>
    </cfRule>
    <cfRule type="containsText" dxfId="145" priority="194" operator="containsText" text="R. Crítico">
      <formula>NOT(ISERROR(SEARCH("R. Crítico",H298)))</formula>
    </cfRule>
    <cfRule type="containsText" dxfId="144" priority="195" operator="containsText" text="R. Grave">
      <formula>NOT(ISERROR(SEARCH("R. Grave",H298)))</formula>
    </cfRule>
    <cfRule type="containsText" dxfId="143" priority="196" operator="containsText" text="R. Medio">
      <formula>NOT(ISERROR(SEARCH("R. Medio",H298)))</formula>
    </cfRule>
    <cfRule type="containsText" dxfId="142" priority="197" operator="containsText" text="R. Leve">
      <formula>NOT(ISERROR(SEARCH("R. Leve",H298)))</formula>
    </cfRule>
    <cfRule type="containsText" dxfId="141" priority="198" operator="containsText" text="En Tiempo">
      <formula>NOT(ISERROR(SEARCH("En Tiempo",H298)))</formula>
    </cfRule>
    <cfRule type="containsText" dxfId="140" priority="199" operator="containsText" text="Terminado">
      <formula>NOT(ISERROR(SEARCH("Terminado",H298)))</formula>
    </cfRule>
  </conditionalFormatting>
  <conditionalFormatting sqref="H300">
    <cfRule type="containsText" dxfId="139" priority="224" operator="containsText" text="En Tiempo">
      <formula>NOT(ISERROR(SEARCH("En Tiempo",H300)))</formula>
    </cfRule>
    <cfRule type="containsText" dxfId="138" priority="225" operator="containsText" text="Terminado">
      <formula>NOT(ISERROR(SEARCH("Terminado",H300)))</formula>
    </cfRule>
  </conditionalFormatting>
  <conditionalFormatting sqref="H301:H304">
    <cfRule type="containsText" dxfId="137" priority="179" operator="containsText" text="R. Medio">
      <formula>NOT(ISERROR(SEARCH("R. Medio",H301)))</formula>
    </cfRule>
    <cfRule type="containsText" dxfId="136" priority="180" operator="containsText" text="R. Leve">
      <formula>NOT(ISERROR(SEARCH("R. Leve",H301)))</formula>
    </cfRule>
    <cfRule type="containsText" dxfId="135" priority="181" operator="containsText" text="En Tiempo">
      <formula>NOT(ISERROR(SEARCH("En Tiempo",H301)))</formula>
    </cfRule>
    <cfRule type="containsText" dxfId="134" priority="182" operator="containsText" text="Terminado">
      <formula>NOT(ISERROR(SEARCH("Terminado",H301)))</formula>
    </cfRule>
  </conditionalFormatting>
  <conditionalFormatting sqref="H301:H317">
    <cfRule type="containsText" dxfId="133" priority="108" operator="containsText" text="Pendiente">
      <formula>NOT(ISERROR(SEARCH("Pendiente",H301)))</formula>
    </cfRule>
    <cfRule type="containsText" dxfId="132" priority="109" operator="containsText" text="R. Crítico">
      <formula>NOT(ISERROR(SEARCH("R. Crítico",H301)))</formula>
    </cfRule>
    <cfRule type="containsText" dxfId="131" priority="110" operator="containsText" text="R. Grave">
      <formula>NOT(ISERROR(SEARCH("R. Grave",H301)))</formula>
    </cfRule>
  </conditionalFormatting>
  <conditionalFormatting sqref="H305:H317">
    <cfRule type="containsText" dxfId="130" priority="114" operator="containsText" text="Terminado">
      <formula>NOT(ISERROR(SEARCH("Terminado",H305)))</formula>
    </cfRule>
  </conditionalFormatting>
  <conditionalFormatting sqref="H308">
    <cfRule type="containsText" dxfId="129" priority="101" operator="containsText" text="Pendiente">
      <formula>NOT(ISERROR(SEARCH("Pendiente",H308)))</formula>
    </cfRule>
    <cfRule type="containsText" dxfId="128" priority="102" operator="containsText" text="R. Crítico">
      <formula>NOT(ISERROR(SEARCH("R. Crítico",H308)))</formula>
    </cfRule>
    <cfRule type="containsText" dxfId="127" priority="103" operator="containsText" text="R. Grave">
      <formula>NOT(ISERROR(SEARCH("R. Grave",H308)))</formula>
    </cfRule>
    <cfRule type="containsText" dxfId="126" priority="104" operator="containsText" text="R. Medio">
      <formula>NOT(ISERROR(SEARCH("R. Medio",H308)))</formula>
    </cfRule>
    <cfRule type="containsText" dxfId="125" priority="105" operator="containsText" text="R. Leve">
      <formula>NOT(ISERROR(SEARCH("R. Leve",H308)))</formula>
    </cfRule>
    <cfRule type="containsText" dxfId="124" priority="106" operator="containsText" text="En Tiempo">
      <formula>NOT(ISERROR(SEARCH("En Tiempo",H308)))</formula>
    </cfRule>
    <cfRule type="containsText" dxfId="123" priority="107" operator="containsText" text="Terminado">
      <formula>NOT(ISERROR(SEARCH("Terminado",H308)))</formula>
    </cfRule>
  </conditionalFormatting>
  <conditionalFormatting sqref="H310:H317">
    <cfRule type="containsText" dxfId="122" priority="111" operator="containsText" text="R. Medio">
      <formula>NOT(ISERROR(SEARCH("R. Medio",H310)))</formula>
    </cfRule>
    <cfRule type="containsText" dxfId="121" priority="112" operator="containsText" text="R. Leve">
      <formula>NOT(ISERROR(SEARCH("R. Leve",H310)))</formula>
    </cfRule>
  </conditionalFormatting>
  <conditionalFormatting sqref="H311">
    <cfRule type="containsText" dxfId="120" priority="94" operator="containsText" text="Pendiente">
      <formula>NOT(ISERROR(SEARCH("Pendiente",H311)))</formula>
    </cfRule>
    <cfRule type="containsText" dxfId="119" priority="95" operator="containsText" text="R. Crítico">
      <formula>NOT(ISERROR(SEARCH("R. Crítico",H311)))</formula>
    </cfRule>
    <cfRule type="containsText" dxfId="118" priority="96" operator="containsText" text="R. Grave">
      <formula>NOT(ISERROR(SEARCH("R. Grave",H311)))</formula>
    </cfRule>
    <cfRule type="containsText" dxfId="117" priority="97" operator="containsText" text="R. Medio">
      <formula>NOT(ISERROR(SEARCH("R. Medio",H311)))</formula>
    </cfRule>
    <cfRule type="containsText" dxfId="116" priority="98" operator="containsText" text="R. Leve">
      <formula>NOT(ISERROR(SEARCH("R. Leve",H311)))</formula>
    </cfRule>
    <cfRule type="containsText" dxfId="115" priority="99" operator="containsText" text="En Tiempo">
      <formula>NOT(ISERROR(SEARCH("En Tiempo",H311)))</formula>
    </cfRule>
    <cfRule type="containsText" dxfId="114" priority="100" operator="containsText" text="Terminado">
      <formula>NOT(ISERROR(SEARCH("Terminado",H311)))</formula>
    </cfRule>
  </conditionalFormatting>
  <conditionalFormatting sqref="H313:H317">
    <cfRule type="containsText" dxfId="113" priority="113" operator="containsText" text="En Tiempo">
      <formula>NOT(ISERROR(SEARCH("En Tiempo",H313)))</formula>
    </cfRule>
  </conditionalFormatting>
  <conditionalFormatting sqref="H318:H329">
    <cfRule type="containsText" dxfId="112" priority="84" operator="containsText" text="Pendiente">
      <formula>NOT(ISERROR(SEARCH("Pendiente",H318)))</formula>
    </cfRule>
    <cfRule type="containsText" dxfId="111" priority="85" operator="containsText" text="R. Crítico">
      <formula>NOT(ISERROR(SEARCH("R. Crítico",H318)))</formula>
    </cfRule>
    <cfRule type="containsText" dxfId="110" priority="86" operator="containsText" text="R. Grave">
      <formula>NOT(ISERROR(SEARCH("R. Grave",H318)))</formula>
    </cfRule>
    <cfRule type="containsText" dxfId="109" priority="90" operator="containsText" text="Terminado">
      <formula>NOT(ISERROR(SEARCH("Terminado",H318)))</formula>
    </cfRule>
  </conditionalFormatting>
  <conditionalFormatting sqref="H321">
    <cfRule type="containsText" dxfId="108" priority="77" operator="containsText" text="Pendiente">
      <formula>NOT(ISERROR(SEARCH("Pendiente",H321)))</formula>
    </cfRule>
    <cfRule type="containsText" dxfId="107" priority="78" operator="containsText" text="R. Crítico">
      <formula>NOT(ISERROR(SEARCH("R. Crítico",H321)))</formula>
    </cfRule>
    <cfRule type="containsText" dxfId="106" priority="79" operator="containsText" text="R. Grave">
      <formula>NOT(ISERROR(SEARCH("R. Grave",H321)))</formula>
    </cfRule>
    <cfRule type="containsText" dxfId="105" priority="80" operator="containsText" text="R. Medio">
      <formula>NOT(ISERROR(SEARCH("R. Medio",H321)))</formula>
    </cfRule>
    <cfRule type="containsText" dxfId="104" priority="81" operator="containsText" text="R. Leve">
      <formula>NOT(ISERROR(SEARCH("R. Leve",H321)))</formula>
    </cfRule>
    <cfRule type="containsText" dxfId="103" priority="82" operator="containsText" text="En Tiempo">
      <formula>NOT(ISERROR(SEARCH("En Tiempo",H321)))</formula>
    </cfRule>
    <cfRule type="containsText" dxfId="102" priority="83" operator="containsText" text="Terminado">
      <formula>NOT(ISERROR(SEARCH("Terminado",H321)))</formula>
    </cfRule>
  </conditionalFormatting>
  <conditionalFormatting sqref="H323:H329">
    <cfRule type="containsText" dxfId="101" priority="87" operator="containsText" text="R. Medio">
      <formula>NOT(ISERROR(SEARCH("R. Medio",H323)))</formula>
    </cfRule>
    <cfRule type="containsText" dxfId="100" priority="88" operator="containsText" text="R. Leve">
      <formula>NOT(ISERROR(SEARCH("R. Leve",H323)))</formula>
    </cfRule>
  </conditionalFormatting>
  <conditionalFormatting sqref="H324">
    <cfRule type="containsText" dxfId="99" priority="70" operator="containsText" text="Pendiente">
      <formula>NOT(ISERROR(SEARCH("Pendiente",H324)))</formula>
    </cfRule>
    <cfRule type="containsText" dxfId="98" priority="71" operator="containsText" text="R. Crítico">
      <formula>NOT(ISERROR(SEARCH("R. Crítico",H324)))</formula>
    </cfRule>
    <cfRule type="containsText" dxfId="97" priority="72" operator="containsText" text="R. Grave">
      <formula>NOT(ISERROR(SEARCH("R. Grave",H324)))</formula>
    </cfRule>
    <cfRule type="containsText" dxfId="96" priority="73" operator="containsText" text="R. Medio">
      <formula>NOT(ISERROR(SEARCH("R. Medio",H324)))</formula>
    </cfRule>
    <cfRule type="containsText" dxfId="95" priority="74" operator="containsText" text="R. Leve">
      <formula>NOT(ISERROR(SEARCH("R. Leve",H324)))</formula>
    </cfRule>
    <cfRule type="containsText" dxfId="94" priority="75" operator="containsText" text="En Tiempo">
      <formula>NOT(ISERROR(SEARCH("En Tiempo",H324)))</formula>
    </cfRule>
    <cfRule type="containsText" dxfId="93" priority="76" operator="containsText" text="Terminado">
      <formula>NOT(ISERROR(SEARCH("Terminado",H324)))</formula>
    </cfRule>
  </conditionalFormatting>
  <conditionalFormatting sqref="H326:H329">
    <cfRule type="containsText" dxfId="92" priority="89" operator="containsText" text="En Tiempo">
      <formula>NOT(ISERROR(SEARCH("En Tiempo",H326)))</formula>
    </cfRule>
  </conditionalFormatting>
  <conditionalFormatting sqref="H331:H332 H334:H336 H341:H345 H347:H349 H354:H358 H360:H362 H367:H373 H375:H377 H398:H399 H401:H407 H409:H415 H417:H422">
    <cfRule type="containsText" dxfId="91" priority="281" operator="containsText" text="R. Leve">
      <formula>NOT(ISERROR(SEARCH("R. Leve",H331)))</formula>
    </cfRule>
    <cfRule type="containsText" dxfId="90" priority="282" operator="containsText" text="En Tiempo">
      <formula>NOT(ISERROR(SEARCH("En Tiempo",H331)))</formula>
    </cfRule>
    <cfRule type="containsText" dxfId="89" priority="283" operator="containsText" text="Terminado">
      <formula>NOT(ISERROR(SEARCH("Terminado",H331)))</formula>
    </cfRule>
  </conditionalFormatting>
  <conditionalFormatting sqref="H331:H333">
    <cfRule type="containsText" dxfId="88" priority="63" operator="containsText" text="Pendiente">
      <formula>NOT(ISERROR(SEARCH("Pendiente",H331)))</formula>
    </cfRule>
    <cfRule type="containsText" dxfId="87" priority="64" operator="containsText" text="R. Crítico">
      <formula>NOT(ISERROR(SEARCH("R. Crítico",H331)))</formula>
    </cfRule>
    <cfRule type="containsText" dxfId="86" priority="65" operator="containsText" text="R. Grave">
      <formula>NOT(ISERROR(SEARCH("R. Grave",H331)))</formula>
    </cfRule>
  </conditionalFormatting>
  <conditionalFormatting sqref="H333">
    <cfRule type="containsText" dxfId="85" priority="66" operator="containsText" text="Terminado">
      <formula>NOT(ISERROR(SEARCH("Terminado",H333)))</formula>
    </cfRule>
  </conditionalFormatting>
  <conditionalFormatting sqref="H334:H336 H341:H345 H347:H349 H354:H358 H360:H362 H367:H373 H375:H377 H398:H399 H401:H407 H409:H415 H417:H422 H331:H332">
    <cfRule type="containsText" dxfId="84" priority="280" operator="containsText" text="R. Medio">
      <formula>NOT(ISERROR(SEARCH("R. Medio",H331)))</formula>
    </cfRule>
  </conditionalFormatting>
  <conditionalFormatting sqref="H334:H336 H341:H345 H347:H349 H354:H358 H360:H362 H367:H373 H375:H377 H398:H399 H401:H407 H409:H415 H417:H422">
    <cfRule type="containsText" dxfId="83" priority="278" operator="containsText" text="R. Crítico">
      <formula>NOT(ISERROR(SEARCH("R. Crítico",H334)))</formula>
    </cfRule>
    <cfRule type="containsText" dxfId="82" priority="279" operator="containsText" text="R. Grave">
      <formula>NOT(ISERROR(SEARCH("R. Grave",H334)))</formula>
    </cfRule>
  </conditionalFormatting>
  <conditionalFormatting sqref="H334:H336 H341:H345 H347:H349 H354:H358 H360:H362 H367:H373 H398:H399 H375:H377 H401:H407 H409:H415 H417:H422">
    <cfRule type="containsText" dxfId="81" priority="277" operator="containsText" text="Pendiente">
      <formula>NOT(ISERROR(SEARCH("Pendiente",H334)))</formula>
    </cfRule>
  </conditionalFormatting>
  <conditionalFormatting sqref="H339">
    <cfRule type="containsText" dxfId="80" priority="186" operator="containsText" text="Pendiente">
      <formula>NOT(ISERROR(SEARCH("Pendiente",H339)))</formula>
    </cfRule>
    <cfRule type="containsText" dxfId="79" priority="187" operator="containsText" text="R. Crítico">
      <formula>NOT(ISERROR(SEARCH("R. Crítico",H339)))</formula>
    </cfRule>
    <cfRule type="containsText" dxfId="78" priority="188" operator="containsText" text="R. Grave">
      <formula>NOT(ISERROR(SEARCH("R. Grave",H339)))</formula>
    </cfRule>
    <cfRule type="containsText" dxfId="77" priority="189" operator="containsText" text="R. Medio">
      <formula>NOT(ISERROR(SEARCH("R. Medio",H339)))</formula>
    </cfRule>
    <cfRule type="containsText" dxfId="76" priority="190" operator="containsText" text="R. Leve">
      <formula>NOT(ISERROR(SEARCH("R. Leve",H339)))</formula>
    </cfRule>
    <cfRule type="containsText" dxfId="75" priority="191" operator="containsText" text="En Tiempo">
      <formula>NOT(ISERROR(SEARCH("En Tiempo",H339)))</formula>
    </cfRule>
    <cfRule type="containsText" dxfId="74" priority="192" operator="containsText" text="Terminado">
      <formula>NOT(ISERROR(SEARCH("Terminado",H339)))</formula>
    </cfRule>
  </conditionalFormatting>
  <conditionalFormatting sqref="H346">
    <cfRule type="containsText" dxfId="73" priority="52" operator="containsText" text="Pendiente">
      <formula>NOT(ISERROR(SEARCH("Pendiente",H346)))</formula>
    </cfRule>
    <cfRule type="containsText" dxfId="72" priority="53" operator="containsText" text="R. Crítico">
      <formula>NOT(ISERROR(SEARCH("R. Crítico",H346)))</formula>
    </cfRule>
    <cfRule type="containsText" dxfId="71" priority="54" operator="containsText" text="R. Grave">
      <formula>NOT(ISERROR(SEARCH("R. Grave",H346)))</formula>
    </cfRule>
    <cfRule type="containsText" dxfId="70" priority="55" operator="containsText" text="Terminado">
      <formula>NOT(ISERROR(SEARCH("Terminado",H346)))</formula>
    </cfRule>
  </conditionalFormatting>
  <conditionalFormatting sqref="H352">
    <cfRule type="containsText" dxfId="69" priority="56" operator="containsText" text="Pendiente">
      <formula>NOT(ISERROR(SEARCH("Pendiente",H352)))</formula>
    </cfRule>
    <cfRule type="containsText" dxfId="68" priority="57" operator="containsText" text="R. Crítico">
      <formula>NOT(ISERROR(SEARCH("R. Crítico",H352)))</formula>
    </cfRule>
    <cfRule type="containsText" dxfId="67" priority="58" operator="containsText" text="R. Grave">
      <formula>NOT(ISERROR(SEARCH("R. Grave",H352)))</formula>
    </cfRule>
    <cfRule type="containsText" dxfId="66" priority="59" operator="containsText" text="R. Medio">
      <formula>NOT(ISERROR(SEARCH("R. Medio",H352)))</formula>
    </cfRule>
    <cfRule type="containsText" dxfId="65" priority="60" operator="containsText" text="R. Leve">
      <formula>NOT(ISERROR(SEARCH("R. Leve",H352)))</formula>
    </cfRule>
    <cfRule type="containsText" dxfId="64" priority="61" operator="containsText" text="En Tiempo">
      <formula>NOT(ISERROR(SEARCH("En Tiempo",H352)))</formula>
    </cfRule>
    <cfRule type="containsText" dxfId="63" priority="62" operator="containsText" text="Terminado">
      <formula>NOT(ISERROR(SEARCH("Terminado",H352)))</formula>
    </cfRule>
  </conditionalFormatting>
  <conditionalFormatting sqref="H359">
    <cfRule type="containsText" dxfId="62" priority="41" operator="containsText" text="Pendiente">
      <formula>NOT(ISERROR(SEARCH("Pendiente",H359)))</formula>
    </cfRule>
    <cfRule type="containsText" dxfId="61" priority="42" operator="containsText" text="R. Crítico">
      <formula>NOT(ISERROR(SEARCH("R. Crítico",H359)))</formula>
    </cfRule>
    <cfRule type="containsText" dxfId="60" priority="43" operator="containsText" text="R. Grave">
      <formula>NOT(ISERROR(SEARCH("R. Grave",H359)))</formula>
    </cfRule>
    <cfRule type="containsText" dxfId="59" priority="44" operator="containsText" text="Terminado">
      <formula>NOT(ISERROR(SEARCH("Terminado",H359)))</formula>
    </cfRule>
  </conditionalFormatting>
  <conditionalFormatting sqref="H365">
    <cfRule type="containsText" dxfId="58" priority="45" operator="containsText" text="Pendiente">
      <formula>NOT(ISERROR(SEARCH("Pendiente",H365)))</formula>
    </cfRule>
    <cfRule type="containsText" dxfId="57" priority="46" operator="containsText" text="R. Crítico">
      <formula>NOT(ISERROR(SEARCH("R. Crítico",H365)))</formula>
    </cfRule>
    <cfRule type="containsText" dxfId="56" priority="47" operator="containsText" text="R. Grave">
      <formula>NOT(ISERROR(SEARCH("R. Grave",H365)))</formula>
    </cfRule>
    <cfRule type="containsText" dxfId="55" priority="48" operator="containsText" text="R. Medio">
      <formula>NOT(ISERROR(SEARCH("R. Medio",H365)))</formula>
    </cfRule>
    <cfRule type="containsText" dxfId="54" priority="49" operator="containsText" text="R. Leve">
      <formula>NOT(ISERROR(SEARCH("R. Leve",H365)))</formula>
    </cfRule>
    <cfRule type="containsText" dxfId="53" priority="50" operator="containsText" text="En Tiempo">
      <formula>NOT(ISERROR(SEARCH("En Tiempo",H365)))</formula>
    </cfRule>
    <cfRule type="containsText" dxfId="52" priority="51" operator="containsText" text="Terminado">
      <formula>NOT(ISERROR(SEARCH("Terminado",H365)))</formula>
    </cfRule>
  </conditionalFormatting>
  <conditionalFormatting sqref="H374">
    <cfRule type="containsText" dxfId="51" priority="40" operator="containsText" text="Terminado">
      <formula>NOT(ISERROR(SEARCH("Terminado",H374)))</formula>
    </cfRule>
  </conditionalFormatting>
  <conditionalFormatting sqref="H374:H385">
    <cfRule type="containsText" dxfId="50" priority="28" operator="containsText" text="Pendiente">
      <formula>NOT(ISERROR(SEARCH("Pendiente",H374)))</formula>
    </cfRule>
    <cfRule type="containsText" dxfId="49" priority="29" operator="containsText" text="R. Crítico">
      <formula>NOT(ISERROR(SEARCH("R. Crítico",H374)))</formula>
    </cfRule>
    <cfRule type="containsText" dxfId="48" priority="30" operator="containsText" text="R. Grave">
      <formula>NOT(ISERROR(SEARCH("R. Grave",H374)))</formula>
    </cfRule>
  </conditionalFormatting>
  <conditionalFormatting sqref="H379:H385">
    <cfRule type="containsText" dxfId="47" priority="36" operator="containsText" text="R. Medio">
      <formula>NOT(ISERROR(SEARCH("R. Medio",H379)))</formula>
    </cfRule>
    <cfRule type="containsText" dxfId="46" priority="37" operator="containsText" text="R. Leve">
      <formula>NOT(ISERROR(SEARCH("R. Leve",H379)))</formula>
    </cfRule>
    <cfRule type="containsText" dxfId="45" priority="38" operator="containsText" text="En Tiempo">
      <formula>NOT(ISERROR(SEARCH("En Tiempo",H379)))</formula>
    </cfRule>
  </conditionalFormatting>
  <conditionalFormatting sqref="H382">
    <cfRule type="containsText" dxfId="44" priority="31" operator="containsText" text="Terminado">
      <formula>NOT(ISERROR(SEARCH("Terminado",H382)))</formula>
    </cfRule>
  </conditionalFormatting>
  <conditionalFormatting sqref="H383:H385">
    <cfRule type="containsText" dxfId="43" priority="32" operator="containsText" text="R. Medio">
      <formula>NOT(ISERROR(SEARCH("R. Medio",H383)))</formula>
    </cfRule>
    <cfRule type="containsText" dxfId="42" priority="33" operator="containsText" text="R. Leve">
      <formula>NOT(ISERROR(SEARCH("R. Leve",H383)))</formula>
    </cfRule>
    <cfRule type="containsText" dxfId="41" priority="34" operator="containsText" text="En Tiempo">
      <formula>NOT(ISERROR(SEARCH("En Tiempo",H383)))</formula>
    </cfRule>
    <cfRule type="containsText" dxfId="40" priority="35" operator="containsText" text="Terminado">
      <formula>NOT(ISERROR(SEARCH("Terminado",H383)))</formula>
    </cfRule>
    <cfRule type="containsText" dxfId="39" priority="39" operator="containsText" text="Terminado">
      <formula>NOT(ISERROR(SEARCH("Terminado",H383)))</formula>
    </cfRule>
  </conditionalFormatting>
  <conditionalFormatting sqref="H390">
    <cfRule type="containsText" dxfId="38" priority="19" operator="containsText" text="Terminado">
      <formula>NOT(ISERROR(SEARCH("Terminado",H390)))</formula>
    </cfRule>
  </conditionalFormatting>
  <conditionalFormatting sqref="H390:H393">
    <cfRule type="containsText" dxfId="37" priority="16" operator="containsText" text="Pendiente">
      <formula>NOT(ISERROR(SEARCH("Pendiente",H390)))</formula>
    </cfRule>
    <cfRule type="containsText" dxfId="36" priority="17" operator="containsText" text="R. Crítico">
      <formula>NOT(ISERROR(SEARCH("R. Crítico",H390)))</formula>
    </cfRule>
    <cfRule type="containsText" dxfId="35" priority="18" operator="containsText" text="R. Grave">
      <formula>NOT(ISERROR(SEARCH("R. Grave",H390)))</formula>
    </cfRule>
    <cfRule type="containsText" dxfId="34" priority="24" operator="containsText" text="R. Medio">
      <formula>NOT(ISERROR(SEARCH("R. Medio",H390)))</formula>
    </cfRule>
    <cfRule type="containsText" dxfId="33" priority="25" operator="containsText" text="R. Leve">
      <formula>NOT(ISERROR(SEARCH("R. Leve",H390)))</formula>
    </cfRule>
    <cfRule type="containsText" dxfId="32" priority="26" operator="containsText" text="En Tiempo">
      <formula>NOT(ISERROR(SEARCH("En Tiempo",H390)))</formula>
    </cfRule>
  </conditionalFormatting>
  <conditionalFormatting sqref="H391:H393">
    <cfRule type="containsText" dxfId="31" priority="20" operator="containsText" text="R. Medio">
      <formula>NOT(ISERROR(SEARCH("R. Medio",H391)))</formula>
    </cfRule>
    <cfRule type="containsText" dxfId="30" priority="21" operator="containsText" text="R. Leve">
      <formula>NOT(ISERROR(SEARCH("R. Leve",H391)))</formula>
    </cfRule>
    <cfRule type="containsText" dxfId="29" priority="22" operator="containsText" text="En Tiempo">
      <formula>NOT(ISERROR(SEARCH("En Tiempo",H391)))</formula>
    </cfRule>
    <cfRule type="containsText" dxfId="28" priority="23" operator="containsText" text="Terminado">
      <formula>NOT(ISERROR(SEARCH("Terminado",H391)))</formula>
    </cfRule>
    <cfRule type="containsText" dxfId="27" priority="27" operator="containsText" text="Terminado">
      <formula>NOT(ISERROR(SEARCH("Terminado",H391)))</formula>
    </cfRule>
  </conditionalFormatting>
  <conditionalFormatting sqref="H400">
    <cfRule type="containsText" dxfId="26" priority="12" operator="containsText" text="Terminado">
      <formula>NOT(ISERROR(SEARCH("Terminado",H400)))</formula>
    </cfRule>
    <cfRule type="containsText" dxfId="25" priority="13" operator="containsText" text="R. Medio">
      <formula>NOT(ISERROR(SEARCH("R. Medio",H400)))</formula>
    </cfRule>
    <cfRule type="containsText" dxfId="24" priority="14" operator="containsText" text="R. Leve">
      <formula>NOT(ISERROR(SEARCH("R. Leve",H400)))</formula>
    </cfRule>
    <cfRule type="containsText" dxfId="23" priority="15" operator="containsText" text="En Tiempo">
      <formula>NOT(ISERROR(SEARCH("En Tiempo",H400)))</formula>
    </cfRule>
  </conditionalFormatting>
  <conditionalFormatting sqref="H400:H423">
    <cfRule type="containsText" dxfId="22" priority="1" operator="containsText" text="Pendiente">
      <formula>NOT(ISERROR(SEARCH("Pendiente",H400)))</formula>
    </cfRule>
    <cfRule type="containsText" dxfId="21" priority="2" operator="containsText" text="R. Crítico">
      <formula>NOT(ISERROR(SEARCH("R. Crítico",H400)))</formula>
    </cfRule>
    <cfRule type="containsText" dxfId="20" priority="3" operator="containsText" text="R. Grave">
      <formula>NOT(ISERROR(SEARCH("R. Grave",H400)))</formula>
    </cfRule>
  </conditionalFormatting>
  <conditionalFormatting sqref="H408">
    <cfRule type="containsText" dxfId="19" priority="8" operator="containsText" text="Terminado">
      <formula>NOT(ISERROR(SEARCH("Terminado",H408)))</formula>
    </cfRule>
    <cfRule type="containsText" dxfId="18" priority="9" operator="containsText" text="R. Medio">
      <formula>NOT(ISERROR(SEARCH("R. Medio",H408)))</formula>
    </cfRule>
    <cfRule type="containsText" dxfId="17" priority="10" operator="containsText" text="R. Leve">
      <formula>NOT(ISERROR(SEARCH("R. Leve",H408)))</formula>
    </cfRule>
    <cfRule type="containsText" dxfId="16" priority="11" operator="containsText" text="En Tiempo">
      <formula>NOT(ISERROR(SEARCH("En Tiempo",H408)))</formula>
    </cfRule>
  </conditionalFormatting>
  <conditionalFormatting sqref="H416">
    <cfRule type="containsText" dxfId="15" priority="4" operator="containsText" text="Terminado">
      <formula>NOT(ISERROR(SEARCH("Terminado",H416)))</formula>
    </cfRule>
    <cfRule type="containsText" dxfId="14" priority="5" operator="containsText" text="R. Medio">
      <formula>NOT(ISERROR(SEARCH("R. Medio",H416)))</formula>
    </cfRule>
    <cfRule type="containsText" dxfId="13" priority="6" operator="containsText" text="R. Leve">
      <formula>NOT(ISERROR(SEARCH("R. Leve",H416)))</formula>
    </cfRule>
    <cfRule type="containsText" dxfId="12" priority="7" operator="containsText" text="En Tiempo">
      <formula>NOT(ISERROR(SEARCH("En Tiempo",H416)))</formula>
    </cfRule>
  </conditionalFormatting>
  <conditionalFormatting sqref="I1:I300 I302:I313 I315:I326 I328:I1048576">
    <cfRule type="cellIs" dxfId="11" priority="313" operator="equal">
      <formula>"Quitar Cero"</formula>
    </cfRule>
    <cfRule type="cellIs" dxfId="10" priority="314" operator="equal">
      <formula>"Ok"</formula>
    </cfRule>
    <cfRule type="cellIs" dxfId="9" priority="315" operator="equal">
      <formula>"¿Actualizar?"</formula>
    </cfRule>
  </conditionalFormatting>
  <conditionalFormatting sqref="J301">
    <cfRule type="cellIs" dxfId="8" priority="183" operator="equal">
      <formula>"Quitar Cero"</formula>
    </cfRule>
    <cfRule type="cellIs" dxfId="7" priority="184" operator="equal">
      <formula>"Ok"</formula>
    </cfRule>
    <cfRule type="cellIs" dxfId="6" priority="185" operator="equal">
      <formula>"¿Actualizar?"</formula>
    </cfRule>
  </conditionalFormatting>
  <conditionalFormatting sqref="J314">
    <cfRule type="cellIs" dxfId="5" priority="91" operator="equal">
      <formula>"Quitar Cero"</formula>
    </cfRule>
    <cfRule type="cellIs" dxfId="4" priority="92" operator="equal">
      <formula>"Ok"</formula>
    </cfRule>
    <cfRule type="cellIs" dxfId="3" priority="93" operator="equal">
      <formula>"¿Actualizar?"</formula>
    </cfRule>
  </conditionalFormatting>
  <conditionalFormatting sqref="J327">
    <cfRule type="cellIs" dxfId="2" priority="67" operator="equal">
      <formula>"Quitar Cero"</formula>
    </cfRule>
    <cfRule type="cellIs" dxfId="1" priority="68" operator="equal">
      <formula>"Ok"</formula>
    </cfRule>
    <cfRule type="cellIs" dxfId="0" priority="69" operator="equal">
      <formula>"¿Actualizar?"</formula>
    </cfRule>
  </conditionalFormatting>
  <pageMargins left="0.25" right="0.25" top="0.75" bottom="0.75" header="0.3" footer="0.3"/>
  <pageSetup scale="13" fitToHeight="0" orientation="portrait" r:id="rId1"/>
  <ignoredErrors>
    <ignoredError sqref="D132:D13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AAFDACC9350FA408D9C50CE553FE4B2" ma:contentTypeVersion="20" ma:contentTypeDescription="Crear nuevo documento." ma:contentTypeScope="" ma:versionID="5bd48cff24c612a7f29e765999790945">
  <xsd:schema xmlns:xsd="http://www.w3.org/2001/XMLSchema" xmlns:xs="http://www.w3.org/2001/XMLSchema" xmlns:p="http://schemas.microsoft.com/office/2006/metadata/properties" xmlns:ns2="4a5eca93-eb46-4153-872d-d12cdd71f9e5" xmlns:ns3="8830fe13-1abe-42cd-920f-164c3d72acef" targetNamespace="http://schemas.microsoft.com/office/2006/metadata/properties" ma:root="true" ma:fieldsID="057dbdc62c65db7ecb29f7a25ba34865" ns2:_="" ns3:_="">
    <xsd:import namespace="4a5eca93-eb46-4153-872d-d12cdd71f9e5"/>
    <xsd:import namespace="8830fe13-1abe-42cd-920f-164c3d72ace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_Flow_SignoffStatu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5eca93-eb46-4153-872d-d12cdd71f9e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15b631b6-bfb3-4b3b-a811-78ccf2ea6a9f}" ma:internalName="TaxCatchAll" ma:showField="CatchAllData" ma:web="4a5eca93-eb46-4153-872d-d12cdd71f9e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30fe13-1abe-42cd-920f-164c3d72a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Estado de aprobación" ma:internalName="Estado_x0020_de_x0020_aprobaci_x00f3_n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Etiquetas de imagen" ma:readOnly="false" ma:fieldId="{5cf76f15-5ced-4ddc-b409-7134ff3c332f}" ma:taxonomyMulti="true" ma:sspId="dd6b393f-3b87-4f3f-bef6-cd9bed28664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5eca93-eb46-4153-872d-d12cdd71f9e5" xsi:nil="true"/>
    <lcf76f155ced4ddcb4097134ff3c332f xmlns="8830fe13-1abe-42cd-920f-164c3d72acef">
      <Terms xmlns="http://schemas.microsoft.com/office/infopath/2007/PartnerControls"/>
    </lcf76f155ced4ddcb4097134ff3c332f>
    <SharedWithUsers xmlns="4a5eca93-eb46-4153-872d-d12cdd71f9e5">
      <UserInfo>
        <DisplayName/>
        <AccountId xsi:nil="true"/>
        <AccountType/>
      </UserInfo>
    </SharedWithUsers>
    <MediaLengthInSeconds xmlns="8830fe13-1abe-42cd-920f-164c3d72acef" xsi:nil="true"/>
    <_Flow_SignoffStatus xmlns="8830fe13-1abe-42cd-920f-164c3d72acef" xsi:nil="true"/>
  </documentManagement>
</p:properties>
</file>

<file path=customXml/itemProps1.xml><?xml version="1.0" encoding="utf-8"?>
<ds:datastoreItem xmlns:ds="http://schemas.openxmlformats.org/officeDocument/2006/customXml" ds:itemID="{E8201249-C42C-4BCF-8619-D213EA53FB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5eca93-eb46-4153-872d-d12cdd71f9e5"/>
    <ds:schemaRef ds:uri="8830fe13-1abe-42cd-920f-164c3d72ac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12A931-6EDC-4172-850D-A43A05E734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916D9E-EAE0-4B0C-90C7-3C641D678F39}">
  <ds:schemaRefs>
    <ds:schemaRef ds:uri="http://schemas.microsoft.com/office/2006/metadata/properties"/>
    <ds:schemaRef ds:uri="http://schemas.microsoft.com/office/infopath/2007/PartnerControls"/>
    <ds:schemaRef ds:uri="4a5eca93-eb46-4153-872d-d12cdd71f9e5"/>
    <ds:schemaRef ds:uri="8830fe13-1abe-42cd-920f-164c3d72ac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Cronograma</vt:lpstr>
      <vt:lpstr>Cronograma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IT02</dc:creator>
  <cp:keywords/>
  <dc:description/>
  <cp:lastModifiedBy>Dario Gomez</cp:lastModifiedBy>
  <cp:revision/>
  <dcterms:created xsi:type="dcterms:W3CDTF">2019-11-09T00:11:23Z</dcterms:created>
  <dcterms:modified xsi:type="dcterms:W3CDTF">2026-02-10T19:49:38Z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0x0101001AAFDACC9350FA408D9C50CE553FE4B2</vt:lpwstr>
  </property>
  <property fmtid="{D5CDD505-2E9C-101B-9397-08002B2CF9AE}" pid="3" name="MediaServiceImageTags">
    <vt:lpwstr/>
  </property>
  <property fmtid="{D5CDD505-2E9C-101B-9397-08002B2CF9AE}" pid="4" name="Order">
    <vt:r8>21068900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