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guel Regalado\Downloads\"/>
    </mc:Choice>
  </mc:AlternateContent>
  <xr:revisionPtr revIDLastSave="0" documentId="13_ncr:1_{B35004B6-8545-454F-8881-FEB6D2000915}" xr6:coauthVersionLast="47" xr6:coauthVersionMax="47" xr10:uidLastSave="{00000000-0000-0000-0000-000000000000}"/>
  <bookViews>
    <workbookView xWindow="-108" yWindow="-108" windowWidth="23256" windowHeight="12456" tabRatio="906" xr2:uid="{F20CC877-7D6B-412E-9C80-375DA4571C82}"/>
  </bookViews>
  <sheets>
    <sheet name="Cronograma" sheetId="29" r:id="rId1"/>
  </sheets>
  <definedNames>
    <definedName name="_xlnm._FilterDatabase" localSheetId="0" hidden="1">Cronograma!$A$1:$F$88</definedName>
    <definedName name="ActualBeyond">PeriodInActual*(#REF!&gt;0)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orcentajeCompletado">PercentCompleteBeyond*PeriodInPlan</definedName>
    <definedName name="Real">(PeriodInActual*(#REF!&gt;0))*PeriodInPlan</definedName>
    <definedName name="TitleRegion..BO6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9" l="1"/>
  <c r="C103" i="29"/>
  <c r="F103" i="29" s="1"/>
  <c r="F67" i="29"/>
  <c r="F102" i="29"/>
  <c r="F101" i="29"/>
  <c r="F97" i="29"/>
  <c r="F96" i="29"/>
  <c r="F92" i="29"/>
  <c r="F91" i="29"/>
  <c r="F88" i="29"/>
  <c r="F87" i="29"/>
  <c r="F84" i="29"/>
  <c r="F83" i="29"/>
  <c r="F80" i="29"/>
  <c r="F79" i="29"/>
  <c r="F78" i="29"/>
  <c r="F75" i="29"/>
  <c r="F74" i="29"/>
  <c r="F60" i="29"/>
  <c r="F59" i="29"/>
  <c r="F57" i="29"/>
  <c r="F58" i="29"/>
  <c r="F56" i="29"/>
  <c r="F54" i="29"/>
  <c r="F53" i="29"/>
  <c r="F52" i="29"/>
  <c r="F51" i="29"/>
  <c r="D46" i="29"/>
  <c r="F49" i="29"/>
  <c r="D38" i="29"/>
  <c r="F38" i="29" s="1"/>
  <c r="F40" i="29"/>
  <c r="D34" i="29"/>
  <c r="F34" i="29" s="1"/>
  <c r="F4" i="29"/>
  <c r="F6" i="29"/>
  <c r="F21" i="29"/>
  <c r="F20" i="29"/>
  <c r="F5" i="29"/>
  <c r="F19" i="29"/>
  <c r="F22" i="29"/>
  <c r="F26" i="29"/>
  <c r="F27" i="29"/>
  <c r="F25" i="29"/>
  <c r="F24" i="29"/>
  <c r="F12" i="29"/>
  <c r="F11" i="29"/>
  <c r="F23" i="29"/>
  <c r="F29" i="29"/>
  <c r="F18" i="29"/>
  <c r="F10" i="29"/>
  <c r="F28" i="29"/>
  <c r="F17" i="29"/>
  <c r="F9" i="29"/>
  <c r="C14" i="29"/>
  <c r="D14" i="29" s="1"/>
  <c r="C15" i="29" s="1"/>
  <c r="F8" i="29"/>
  <c r="D16" i="29"/>
  <c r="F16" i="29" s="1"/>
  <c r="F70" i="29"/>
  <c r="F68" i="29"/>
  <c r="F65" i="29"/>
  <c r="F69" i="29"/>
  <c r="F71" i="29"/>
  <c r="F48" i="29"/>
  <c r="F47" i="29"/>
  <c r="F45" i="29"/>
  <c r="F37" i="29"/>
  <c r="F36" i="29"/>
  <c r="F35" i="29"/>
  <c r="F33" i="29"/>
  <c r="F3" i="29"/>
  <c r="F2" i="29"/>
  <c r="F66" i="29"/>
  <c r="F46" i="29" l="1"/>
  <c r="D15" i="29"/>
  <c r="F14" i="29"/>
  <c r="F7" i="29"/>
  <c r="F15" i="29" l="1"/>
</calcChain>
</file>

<file path=xl/sharedStrings.xml><?xml version="1.0" encoding="utf-8"?>
<sst xmlns="http://schemas.openxmlformats.org/spreadsheetml/2006/main" count="198" uniqueCount="99">
  <si>
    <t>FECHA INICIO</t>
  </si>
  <si>
    <t>FECHA FIN</t>
  </si>
  <si>
    <t>PROYECTO</t>
  </si>
  <si>
    <t>CTLA Chihuahua</t>
  </si>
  <si>
    <t>TLA Juárez</t>
  </si>
  <si>
    <t>Darío</t>
  </si>
  <si>
    <t>Eddy</t>
  </si>
  <si>
    <t>Los Encinos (Material de venta) MLE CUU</t>
  </si>
  <si>
    <t>Majalca Sección B y D (material de venta)</t>
  </si>
  <si>
    <t>Comprar muestra de porcelanato Beige Umbral Eterno TLA JRZ</t>
  </si>
  <si>
    <t>Negociación Sayra/infinity por material de Umbral Eterno TLA JRZ</t>
  </si>
  <si>
    <t>Ubicación de fosas TLA JRZ, asegurar acceso de carroza en Via TLA</t>
  </si>
  <si>
    <t>Recabar requisitos para viabilidad de luz</t>
  </si>
  <si>
    <t>Recabar requisitos para viabilidad de agua</t>
  </si>
  <si>
    <t>Diseño de distribución de fosas y monumentos en TLA JRZ</t>
  </si>
  <si>
    <r>
      <t xml:space="preserve">La concepción </t>
    </r>
    <r>
      <rPr>
        <b/>
        <sz val="12"/>
        <rFont val="Arial"/>
        <family val="2"/>
      </rPr>
      <t>obra civil</t>
    </r>
    <r>
      <rPr>
        <sz val="12"/>
        <rFont val="Arial"/>
        <family val="2"/>
      </rPr>
      <t>, MTLA CUA</t>
    </r>
  </si>
  <si>
    <t>Render y videos del recinto (actualizar mármol) La Paz MTLA CUA</t>
  </si>
  <si>
    <t>Santa Rosalía, diseño de vitrales MTLA Cuauhtémoc</t>
  </si>
  <si>
    <t>Barandal coro capilla MTLA Cuauhtémoc</t>
  </si>
  <si>
    <t>Material de venta Umbral Eterno TLA JRZ</t>
  </si>
  <si>
    <t>Jardín Vencedores (material de venta) MTLA DEL</t>
  </si>
  <si>
    <r>
      <t>Jardín Vencedores (</t>
    </r>
    <r>
      <rPr>
        <b/>
        <sz val="12"/>
        <rFont val="Arial"/>
        <family val="2"/>
      </rPr>
      <t>obra civil</t>
    </r>
    <r>
      <rPr>
        <sz val="12"/>
        <rFont val="Arial"/>
        <family val="2"/>
      </rPr>
      <t>) MTLA DEL</t>
    </r>
  </si>
  <si>
    <t>San Isidro MTLA DEL (Diseño vitral)</t>
  </si>
  <si>
    <t>San Isidro MTLA DEL (Material de venta)</t>
  </si>
  <si>
    <t>Fosas de MTLA Cuauhtémoc (ubicación)</t>
  </si>
  <si>
    <r>
      <t>Criptas VIA TLA MTLA DEL (</t>
    </r>
    <r>
      <rPr>
        <b/>
        <sz val="12"/>
        <rFont val="Arial"/>
        <family val="2"/>
      </rPr>
      <t>obra civil)</t>
    </r>
  </si>
  <si>
    <t>Criptas VIA TLA MTLA DEL (Diseño)</t>
  </si>
  <si>
    <r>
      <t>Criptas la concepción (</t>
    </r>
    <r>
      <rPr>
        <b/>
        <sz val="12"/>
        <rFont val="Arial"/>
        <family val="2"/>
      </rPr>
      <t>obra civil</t>
    </r>
    <r>
      <rPr>
        <sz val="12"/>
        <rFont val="Arial"/>
        <family val="2"/>
      </rPr>
      <t>) MTLA DEL</t>
    </r>
  </si>
  <si>
    <r>
      <t>Los Encinos (</t>
    </r>
    <r>
      <rPr>
        <b/>
        <sz val="12"/>
        <rFont val="Arial"/>
        <family val="2"/>
      </rPr>
      <t>obra civil</t>
    </r>
    <r>
      <rPr>
        <sz val="12"/>
        <rFont val="Arial"/>
        <family val="2"/>
      </rPr>
      <t xml:space="preserve"> y mover vegetación) MLE CUU</t>
    </r>
  </si>
  <si>
    <r>
      <t>Naica (</t>
    </r>
    <r>
      <rPr>
        <b/>
        <sz val="12"/>
        <rFont val="Arial"/>
        <family val="2"/>
      </rPr>
      <t>obra civil</t>
    </r>
    <r>
      <rPr>
        <sz val="12"/>
        <rFont val="Arial"/>
        <family val="2"/>
      </rPr>
      <t>) MLE CUU</t>
    </r>
  </si>
  <si>
    <t>Naica (material de venta) MLE CUU</t>
  </si>
  <si>
    <t>Remodelación de Eterno Amor MLE Juárez</t>
  </si>
  <si>
    <r>
      <t>Banquetas de Trascendencia (</t>
    </r>
    <r>
      <rPr>
        <b/>
        <sz val="12"/>
        <rFont val="Arial"/>
        <family val="2"/>
      </rPr>
      <t>Obra civil</t>
    </r>
    <r>
      <rPr>
        <sz val="12"/>
        <rFont val="Arial"/>
        <family val="2"/>
      </rPr>
      <t>) MTLA CUA</t>
    </r>
  </si>
  <si>
    <t>Entrega pendiente por infinity 2025 Santa Rosalía MTLA CUA</t>
  </si>
  <si>
    <t>Entrega pendiente por infinity 2025 Col A Bautisterio MTLA DEL</t>
  </si>
  <si>
    <r>
      <t xml:space="preserve">Pendiente 2025 Marco de madera Nichos de Cristal MTLA DEL </t>
    </r>
    <r>
      <rPr>
        <b/>
        <sz val="12"/>
        <rFont val="Arial"/>
        <family val="2"/>
      </rPr>
      <t>(obra civil)</t>
    </r>
  </si>
  <si>
    <r>
      <t>Paseo de los recuerdos (</t>
    </r>
    <r>
      <rPr>
        <b/>
        <sz val="12"/>
        <rFont val="Arial"/>
        <family val="2"/>
      </rPr>
      <t>obra civil</t>
    </r>
    <r>
      <rPr>
        <sz val="12"/>
        <rFont val="Arial"/>
        <family val="2"/>
      </rPr>
      <t>) MLE JRZ</t>
    </r>
  </si>
  <si>
    <t>Anthony Quinn</t>
  </si>
  <si>
    <t>Recabar requisitos para Número Oficial (MLE y SMART)</t>
  </si>
  <si>
    <t>Recabar requisitos para constancia de zonificación (MLE y SMART)</t>
  </si>
  <si>
    <t>Obtener documentos SMART</t>
  </si>
  <si>
    <t>Brenda</t>
  </si>
  <si>
    <t>Monte Kea</t>
  </si>
  <si>
    <t>Protocolización y venta</t>
  </si>
  <si>
    <t>Reunión con Lili Méndez de viabilidad acceso con vecinos</t>
  </si>
  <si>
    <t>Análisis de requerimientos</t>
  </si>
  <si>
    <t>Solicitar proyección de ventas, estudio de mercado y capacidad instalada</t>
  </si>
  <si>
    <t>Reunión de Customer Journey</t>
  </si>
  <si>
    <t>Reunión de necesidades</t>
  </si>
  <si>
    <t>Reunión de validación de componentes e información del terreno</t>
  </si>
  <si>
    <t>Diseño y validación de propuestas TLA Juárez y MTLA Cuauhtémoc</t>
  </si>
  <si>
    <t>Eddy/Darío</t>
  </si>
  <si>
    <t>Diseño y validación de propuestas MTLA Delicias</t>
  </si>
  <si>
    <t>Diseño y validación de propuestas MLE Juárez</t>
  </si>
  <si>
    <t xml:space="preserve">Entregable </t>
  </si>
  <si>
    <r>
      <rPr>
        <i/>
        <sz val="12"/>
        <rFont val="Arial"/>
        <family val="2"/>
      </rPr>
      <t>Entregable:</t>
    </r>
    <r>
      <rPr>
        <sz val="12"/>
        <rFont val="Arial"/>
        <family val="2"/>
      </rPr>
      <t xml:space="preserve"> componentes, proyección de venta y capacidad instalada</t>
    </r>
  </si>
  <si>
    <t>Anteproyectos</t>
  </si>
  <si>
    <t>MTLA Cuauhtémoc</t>
  </si>
  <si>
    <t>MTLA Delicias</t>
  </si>
  <si>
    <t>MLE Juárez</t>
  </si>
  <si>
    <t>Proyectos Conceptuales</t>
  </si>
  <si>
    <t>Conversión de carroza mercedes</t>
  </si>
  <si>
    <t>Puertas de Cafetería</t>
  </si>
  <si>
    <t>Abrir ritual de cenizas</t>
  </si>
  <si>
    <t>Arreglo automático de riego</t>
  </si>
  <si>
    <t>MLE Chihuahua</t>
  </si>
  <si>
    <t>Remodelación CTLA Vallarta</t>
  </si>
  <si>
    <t>Remodelación oficinas Vallarta</t>
  </si>
  <si>
    <t>Sala de velación provisional</t>
  </si>
  <si>
    <t>Montaje de tapas</t>
  </si>
  <si>
    <t>Triturador de cenizas</t>
  </si>
  <si>
    <t>Mejoras exterior (cambio de árboles, tapas de criptas, barda perimetral, iluminación)</t>
  </si>
  <si>
    <t>Andadores y estacionamiento</t>
  </si>
  <si>
    <t>CTLA Tijuana</t>
  </si>
  <si>
    <t>Ampliación de sala velación</t>
  </si>
  <si>
    <t>Compra de Sienna de Juárez</t>
  </si>
  <si>
    <t>Carroza Europea</t>
  </si>
  <si>
    <t>Sienna 2025</t>
  </si>
  <si>
    <t>Segunda Etapa TLA Juárez</t>
  </si>
  <si>
    <t>Remodelación Oficinas y Showroom MLE Juárez</t>
  </si>
  <si>
    <t>Placa de nombre y florerito para USM</t>
  </si>
  <si>
    <t>Mobiliario CTLA Zaragoza</t>
  </si>
  <si>
    <t>Paneles solares</t>
  </si>
  <si>
    <t>Euro Estudios: análisis de cargas actualizado</t>
  </si>
  <si>
    <t>Los Encinos (Autorización de Diseño del ACC) MLE CUU</t>
  </si>
  <si>
    <t>B. VENTA TERRENOS</t>
  </si>
  <si>
    <t>C. MACROPROYECTOS</t>
  </si>
  <si>
    <t>D. CAPEX</t>
  </si>
  <si>
    <t>E. PRÉSTAMO JUÁREZ</t>
  </si>
  <si>
    <t>F. Actividades Extra</t>
  </si>
  <si>
    <t>Negociación y contratos con Sayra e infinity</t>
  </si>
  <si>
    <t>SUCURSAL</t>
  </si>
  <si>
    <t>ASIGNADO</t>
  </si>
  <si>
    <t>DÍAS REQ.</t>
  </si>
  <si>
    <t>PRIORIDAD</t>
  </si>
  <si>
    <t>TIPO</t>
  </si>
  <si>
    <t>CARGA</t>
  </si>
  <si>
    <t>BALANCE</t>
  </si>
  <si>
    <t>LANZAMIENTO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</si>
</sst>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_ ;\-0\ "/>
    <numFmt numFmtId="165" formatCode="dd\-mm\-yy;@"/>
  </numFmts>
  <fonts count="1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1"/>
      <color theme="1" tint="0.1499679555650502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13"/>
      <color theme="1" tint="0.24994659260841701"/>
      <name val="Calibri Light"/>
      <family val="2"/>
      <scheme val="major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 tint="0.499984740745262"/>
      <name val="Arial"/>
      <family val="2"/>
    </font>
    <font>
      <i/>
      <sz val="12"/>
      <color theme="4"/>
      <name val="Arial"/>
      <family val="2"/>
    </font>
    <font>
      <i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6" tint="0.7999816888943144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0" fontId="3" fillId="0" borderId="1" applyProtection="0">
      <alignment vertical="center" wrapText="1"/>
    </xf>
    <xf numFmtId="0" fontId="4" fillId="0" borderId="0" applyNumberFormat="0" applyFill="0" applyBorder="0" applyProtection="0">
      <alignment horizontal="center" vertical="center"/>
    </xf>
    <xf numFmtId="0" fontId="3" fillId="0" borderId="1" applyProtection="0">
      <alignment vertical="center" wrapText="1"/>
    </xf>
    <xf numFmtId="0" fontId="5" fillId="0" borderId="0" applyFill="0" applyBorder="0" applyProtection="0">
      <alignment horizontal="left" wrapText="1"/>
    </xf>
    <xf numFmtId="0" fontId="2" fillId="0" borderId="0"/>
    <xf numFmtId="0" fontId="7" fillId="0" borderId="0"/>
    <xf numFmtId="0" fontId="2" fillId="0" borderId="0"/>
  </cellStyleXfs>
  <cellXfs count="31">
    <xf numFmtId="0" fontId="0" fillId="0" borderId="0" xfId="0"/>
    <xf numFmtId="164" fontId="9" fillId="2" borderId="0" xfId="0" applyNumberFormat="1" applyFont="1" applyFill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1" fillId="0" borderId="2" xfId="5" applyFont="1" applyBorder="1" applyAlignment="1">
      <alignment horizontal="center" vertical="center"/>
    </xf>
    <xf numFmtId="165" fontId="1" fillId="0" borderId="2" xfId="5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0" borderId="2" xfId="5" applyFont="1" applyFill="1" applyBorder="1" applyAlignment="1">
      <alignment horizontal="left" vertical="center" wrapText="1" indent="1"/>
    </xf>
    <xf numFmtId="165" fontId="10" fillId="0" borderId="2" xfId="5" applyNumberFormat="1" applyFont="1" applyBorder="1" applyAlignment="1">
      <alignment horizontal="center" vertical="center" wrapText="1"/>
    </xf>
    <xf numFmtId="1" fontId="10" fillId="0" borderId="3" xfId="5" applyNumberFormat="1" applyFont="1" applyBorder="1" applyAlignment="1">
      <alignment horizontal="center" vertical="center" wrapText="1"/>
    </xf>
    <xf numFmtId="0" fontId="1" fillId="0" borderId="2" xfId="5" applyFont="1" applyBorder="1" applyAlignment="1">
      <alignment horizontal="left" vertical="center" wrapText="1" indent="2"/>
    </xf>
    <xf numFmtId="1" fontId="1" fillId="0" borderId="3" xfId="5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indent="1"/>
    </xf>
    <xf numFmtId="0" fontId="1" fillId="0" borderId="2" xfId="5" applyFont="1" applyFill="1" applyBorder="1" applyAlignment="1">
      <alignment horizontal="center" vertical="center"/>
    </xf>
    <xf numFmtId="1" fontId="1" fillId="0" borderId="3" xfId="5" applyNumberFormat="1" applyFont="1" applyFill="1" applyBorder="1" applyAlignment="1">
      <alignment horizontal="center" vertical="center" wrapText="1"/>
    </xf>
    <xf numFmtId="0" fontId="11" fillId="0" borderId="2" xfId="5" applyFont="1" applyFill="1" applyBorder="1" applyAlignment="1">
      <alignment horizontal="left" vertical="center" wrapText="1" indent="2"/>
    </xf>
    <xf numFmtId="0" fontId="11" fillId="0" borderId="2" xfId="5" applyFont="1" applyFill="1" applyBorder="1" applyAlignment="1">
      <alignment horizontal="center" vertical="center"/>
    </xf>
    <xf numFmtId="165" fontId="11" fillId="0" borderId="2" xfId="5" applyNumberFormat="1" applyFont="1" applyFill="1" applyBorder="1" applyAlignment="1">
      <alignment horizontal="center" vertical="center" wrapText="1"/>
    </xf>
    <xf numFmtId="1" fontId="11" fillId="0" borderId="3" xfId="5" applyNumberFormat="1" applyFont="1" applyBorder="1" applyAlignment="1">
      <alignment horizontal="center" vertical="center" wrapText="1"/>
    </xf>
    <xf numFmtId="0" fontId="1" fillId="0" borderId="2" xfId="5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6" fillId="0" borderId="2" xfId="5" applyFont="1" applyBorder="1" applyAlignment="1">
      <alignment horizontal="left" vertical="center" wrapText="1" indent="3"/>
    </xf>
    <xf numFmtId="0" fontId="1" fillId="0" borderId="2" xfId="5" applyFont="1" applyBorder="1" applyAlignment="1">
      <alignment horizontal="left" vertical="center" wrapText="1" indent="4"/>
    </xf>
    <xf numFmtId="0" fontId="12" fillId="0" borderId="2" xfId="5" applyFont="1" applyBorder="1" applyAlignment="1">
      <alignment horizontal="left" vertical="center" wrapText="1" indent="4"/>
    </xf>
    <xf numFmtId="165" fontId="1" fillId="3" borderId="2" xfId="5" applyNumberFormat="1" applyFont="1" applyFill="1" applyBorder="1" applyAlignment="1">
      <alignment horizontal="center" vertical="center" wrapText="1"/>
    </xf>
    <xf numFmtId="1" fontId="1" fillId="0" borderId="0" xfId="5" applyNumberFormat="1" applyFont="1" applyBorder="1" applyAlignment="1">
      <alignment horizontal="center" vertical="center" wrapText="1"/>
    </xf>
    <xf numFmtId="1" fontId="1" fillId="0" borderId="0" xfId="5" applyNumberFormat="1" applyFont="1" applyFill="1" applyBorder="1" applyAlignment="1">
      <alignment horizontal="center" vertical="center" wrapText="1"/>
    </xf>
  </cellXfs>
  <cellStyles count="9">
    <cellStyle name="Actividad" xfId="5" xr:uid="{1F2B9222-D004-42F4-A87E-F0A5E39782B4}"/>
    <cellStyle name="Normal" xfId="0" builtinId="0"/>
    <cellStyle name="Normal 2" xfId="2" xr:uid="{B8EB8AF6-139D-4007-BD89-82899A157652}"/>
    <cellStyle name="Normal 2 2" xfId="4" xr:uid="{DD1F70DA-C2F5-4866-A839-E7AB762B9D8D}"/>
    <cellStyle name="Normal 2 3" xfId="6" xr:uid="{808762B3-F831-449A-9C91-77FBF7538172}"/>
    <cellStyle name="Normal 3" xfId="3" xr:uid="{93BABA1D-C174-4D5D-A544-128E7C48E7F4}"/>
    <cellStyle name="Normal 4" xfId="7" xr:uid="{47C061FC-7F93-47AF-A309-D5DD99FC9504}"/>
    <cellStyle name="Normal 5" xfId="8" xr:uid="{4480CE26-D878-4207-AC62-615A05A1EA26}"/>
    <cellStyle name="Porcentaje 2 4" xfId="1" xr:uid="{9FFAC685-9EE7-4FC3-BEB1-DFDD40E24CF5}"/>
  </cellStyles>
  <dxfs count="18">
    <dxf>
      <font>
        <b/>
        <i val="0"/>
        <color theme="5" tint="-0.24994659260841701"/>
      </font>
      <fill>
        <patternFill>
          <bgColor rgb="FFFFC000"/>
        </patternFill>
      </fill>
    </dxf>
    <dxf>
      <font>
        <b/>
        <i val="0"/>
        <color rgb="FFFFFFCC"/>
      </font>
      <fill>
        <patternFill>
          <bgColor rgb="FFCC3300"/>
        </patternFill>
      </fill>
    </dxf>
    <dxf>
      <font>
        <b/>
        <i val="0"/>
        <color rgb="FFFFFFCC"/>
      </font>
      <fill>
        <patternFill>
          <bgColor rgb="FFFF0000"/>
        </patternFill>
      </fill>
    </dxf>
    <dxf>
      <font>
        <b/>
        <i val="0"/>
        <color theme="0" tint="-4.9989318521683403E-2"/>
      </font>
      <fill>
        <patternFill>
          <bgColor rgb="FF009900"/>
        </patternFill>
      </fill>
    </dxf>
    <dxf>
      <font>
        <b/>
        <i val="0"/>
        <color rgb="FF008000"/>
      </font>
      <fill>
        <patternFill>
          <bgColor rgb="FF66FF66"/>
        </patternFill>
      </fill>
    </dxf>
    <dxf>
      <font>
        <b/>
        <i val="0"/>
        <color rgb="FFFF0000"/>
      </font>
      <fill>
        <patternFill>
          <bgColor rgb="FFD6ED49"/>
        </patternFill>
      </fill>
    </dxf>
    <dxf>
      <font>
        <b/>
        <i val="0"/>
        <color theme="4" tint="0.79998168889431442"/>
      </font>
      <fill>
        <patternFill>
          <bgColor theme="1" tint="0.14996795556505021"/>
        </patternFill>
      </fill>
    </dxf>
    <dxf>
      <font>
        <b/>
        <i val="0"/>
        <color rgb="FFFF0000"/>
      </font>
      <fill>
        <patternFill>
          <bgColor rgb="FFD6ED49"/>
        </patternFill>
      </fill>
    </dxf>
    <dxf>
      <font>
        <b/>
        <i val="0"/>
        <color theme="0" tint="-4.9989318521683403E-2"/>
      </font>
      <fill>
        <patternFill>
          <bgColor rgb="FF009900"/>
        </patternFill>
      </fill>
    </dxf>
    <dxf>
      <font>
        <b/>
        <i val="0"/>
        <color rgb="FF008000"/>
      </font>
      <fill>
        <patternFill>
          <bgColor rgb="FF66FF66"/>
        </patternFill>
      </fill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font>
        <color theme="2" tint="0.79995117038483843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-0.499984740745262"/>
        </bottom>
        <vertical/>
        <horizontal/>
      </border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font>
        <color theme="2" tint="0.79995117038483843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-0.499984740745262"/>
        </bottom>
        <vertical/>
        <horizontal/>
      </border>
    </dxf>
  </dxfs>
  <tableStyles count="2" defaultTableStyle="TableStyleMedium2" defaultPivotStyle="PivotStyleLight16">
    <tableStyle name="Libreta de direcciones" pivot="0" count="4" xr9:uid="{54C2F471-723F-4DDE-BD58-7D78EC0854CE}">
      <tableStyleElement type="wholeTable" dxfId="17"/>
      <tableStyleElement type="headerRow" dxfId="16"/>
      <tableStyleElement type="firstRowStripe" dxfId="15"/>
      <tableStyleElement type="secondRowStripe" dxfId="14"/>
    </tableStyle>
    <tableStyle name="Libreta de direcciones 2" pivot="0" count="4" xr9:uid="{BE86C5FF-550A-46AC-8812-66EEDA81CA5D}">
      <tableStyleElement type="wholeTable" dxfId="13"/>
      <tableStyleElement type="headerRow" dxfId="12"/>
      <tableStyleElement type="firstRowStripe" dxfId="11"/>
      <tableStyleElement type="secondRowStripe" dxfId="10"/>
    </tableStyle>
  </tableStyles>
  <colors>
    <mruColors>
      <color rgb="FFFF6600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357BC-511F-4A46-AED3-E186F78923BA}">
  <sheetPr>
    <tabColor theme="9" tint="-0.249977111117893"/>
    <pageSetUpPr fitToPage="1"/>
  </sheetPr>
  <dimension ref="A1:J106"/>
  <sheetViews>
    <sheetView showGridLines="0" tabSelected="1" zoomScale="89" zoomScaleNormal="89" workbookViewId="0">
      <pane ySplit="1" topLeftCell="A2" activePane="bottomLeft" state="frozen"/>
      <selection pane="bottomLeft" activeCell="A13" sqref="A13"/>
    </sheetView>
  </sheetViews>
  <sheetFormatPr baseColWidth="10" defaultColWidth="9.109375" defaultRowHeight="14.25" customHeight="1" x14ac:dyDescent="0.3"/>
  <cols>
    <col min="1" max="1" width="91.109375" style="3" customWidth="1"/>
    <col min="2" max="2" width="17.109375" style="3" customWidth="1"/>
    <col min="3" max="4" width="16" style="22" customWidth="1"/>
    <col min="5" max="5" width="14.109375" style="22" customWidth="1"/>
    <col min="6" max="6" width="10.109375" style="23" customWidth="1"/>
    <col min="7" max="7" width="21.109375" style="23" customWidth="1"/>
    <col min="8" max="8" width="16.5546875" style="24" customWidth="1"/>
    <col min="9" max="16384" width="9.109375" style="3"/>
  </cols>
  <sheetData>
    <row r="1" spans="1:10" ht="14.25" customHeight="1" x14ac:dyDescent="0.3">
      <c r="A1" s="4" t="s">
        <v>2</v>
      </c>
      <c r="B1" s="4" t="s">
        <v>91</v>
      </c>
      <c r="C1" s="5" t="s">
        <v>0</v>
      </c>
      <c r="D1" s="5" t="s">
        <v>1</v>
      </c>
      <c r="E1" s="5" t="s">
        <v>92</v>
      </c>
      <c r="F1" s="1" t="s">
        <v>93</v>
      </c>
      <c r="G1" s="2" t="s">
        <v>94</v>
      </c>
      <c r="H1" s="2" t="s">
        <v>95</v>
      </c>
      <c r="I1" s="3" t="s">
        <v>96</v>
      </c>
      <c r="J1" s="3" t="s">
        <v>97</v>
      </c>
    </row>
    <row r="2" spans="1:10" ht="13.95" customHeight="1" x14ac:dyDescent="0.3">
      <c r="A2" s="12" t="s">
        <v>30</v>
      </c>
      <c r="B2" s="12"/>
      <c r="C2" s="7">
        <v>46062</v>
      </c>
      <c r="D2" s="7">
        <v>46069</v>
      </c>
      <c r="E2" s="6" t="s">
        <v>6</v>
      </c>
      <c r="F2" s="13">
        <f t="shared" ref="F2:F8" si="0">+NETWORKDAYS(C2,D2)</f>
        <v>6</v>
      </c>
      <c r="G2" s="29"/>
      <c r="H2" s="8" t="s">
        <v>98</v>
      </c>
    </row>
    <row r="3" spans="1:10" s="14" customFormat="1" ht="15.6" customHeight="1" x14ac:dyDescent="0.3">
      <c r="A3" s="12" t="s">
        <v>84</v>
      </c>
      <c r="B3" s="12"/>
      <c r="C3" s="7">
        <v>46062</v>
      </c>
      <c r="D3" s="7">
        <v>46069</v>
      </c>
      <c r="E3" s="6" t="s">
        <v>5</v>
      </c>
      <c r="F3" s="13">
        <f>+NETWORKDAYS(C3,D3)</f>
        <v>6</v>
      </c>
      <c r="G3" s="29"/>
      <c r="H3" s="8" t="s">
        <v>98</v>
      </c>
    </row>
    <row r="4" spans="1:10" ht="13.95" customHeight="1" x14ac:dyDescent="0.3">
      <c r="A4" s="12" t="s">
        <v>36</v>
      </c>
      <c r="B4" s="12"/>
      <c r="C4" s="7">
        <v>46069</v>
      </c>
      <c r="D4" s="7">
        <v>46094</v>
      </c>
      <c r="E4" s="6" t="s">
        <v>6</v>
      </c>
      <c r="F4" s="13">
        <f t="shared" si="0"/>
        <v>20</v>
      </c>
      <c r="G4" s="29"/>
      <c r="H4" s="8" t="s">
        <v>98</v>
      </c>
    </row>
    <row r="5" spans="1:10" ht="13.95" customHeight="1" x14ac:dyDescent="0.3">
      <c r="A5" s="12" t="s">
        <v>32</v>
      </c>
      <c r="B5" s="12"/>
      <c r="C5" s="7">
        <v>46063</v>
      </c>
      <c r="D5" s="7">
        <v>46069</v>
      </c>
      <c r="E5" s="6" t="s">
        <v>6</v>
      </c>
      <c r="F5" s="13">
        <f t="shared" si="0"/>
        <v>5</v>
      </c>
      <c r="G5" s="29"/>
      <c r="H5" s="8" t="s">
        <v>98</v>
      </c>
    </row>
    <row r="6" spans="1:10" ht="13.95" customHeight="1" x14ac:dyDescent="0.3">
      <c r="A6" s="12" t="s">
        <v>35</v>
      </c>
      <c r="B6" s="12"/>
      <c r="C6" s="7">
        <v>46063</v>
      </c>
      <c r="D6" s="7">
        <v>46080</v>
      </c>
      <c r="E6" s="6" t="s">
        <v>6</v>
      </c>
      <c r="F6" s="13">
        <f t="shared" si="0"/>
        <v>14</v>
      </c>
      <c r="G6" s="29"/>
      <c r="H6" s="8" t="s">
        <v>98</v>
      </c>
    </row>
    <row r="7" spans="1:10" ht="13.95" customHeight="1" x14ac:dyDescent="0.3">
      <c r="A7" s="12" t="s">
        <v>7</v>
      </c>
      <c r="B7" s="12"/>
      <c r="C7" s="7">
        <v>46063</v>
      </c>
      <c r="D7" s="7">
        <v>46069</v>
      </c>
      <c r="E7" s="6" t="s">
        <v>6</v>
      </c>
      <c r="F7" s="13">
        <f t="shared" si="0"/>
        <v>5</v>
      </c>
      <c r="G7" s="29"/>
      <c r="H7" s="8" t="s">
        <v>98</v>
      </c>
    </row>
    <row r="8" spans="1:10" ht="13.95" customHeight="1" x14ac:dyDescent="0.3">
      <c r="A8" s="12" t="s">
        <v>10</v>
      </c>
      <c r="B8" s="12"/>
      <c r="C8" s="7">
        <v>46063</v>
      </c>
      <c r="D8" s="7">
        <v>46069</v>
      </c>
      <c r="E8" s="6" t="s">
        <v>5</v>
      </c>
      <c r="F8" s="13">
        <f t="shared" si="0"/>
        <v>5</v>
      </c>
      <c r="G8" s="29"/>
      <c r="H8" s="8" t="s">
        <v>98</v>
      </c>
    </row>
    <row r="9" spans="1:10" ht="13.95" customHeight="1" x14ac:dyDescent="0.3">
      <c r="A9" s="12" t="s">
        <v>11</v>
      </c>
      <c r="B9" s="12"/>
      <c r="C9" s="7">
        <v>46063</v>
      </c>
      <c r="D9" s="7">
        <v>46069</v>
      </c>
      <c r="E9" s="6" t="s">
        <v>5</v>
      </c>
      <c r="F9" s="13">
        <f>+NETWORKDAYS(C9,D9)</f>
        <v>5</v>
      </c>
      <c r="G9" s="29"/>
      <c r="H9" s="8" t="s">
        <v>98</v>
      </c>
    </row>
    <row r="10" spans="1:10" ht="13.95" customHeight="1" x14ac:dyDescent="0.3">
      <c r="A10" s="12" t="s">
        <v>16</v>
      </c>
      <c r="B10" s="12"/>
      <c r="C10" s="7">
        <v>46063</v>
      </c>
      <c r="D10" s="7">
        <v>46066</v>
      </c>
      <c r="E10" s="6" t="s">
        <v>6</v>
      </c>
      <c r="F10" s="13">
        <f>+NETWORKDAYS(C10,D10)</f>
        <v>4</v>
      </c>
      <c r="G10" s="29"/>
      <c r="H10" s="8" t="s">
        <v>98</v>
      </c>
    </row>
    <row r="11" spans="1:10" ht="13.95" customHeight="1" x14ac:dyDescent="0.3">
      <c r="A11" s="12" t="s">
        <v>22</v>
      </c>
      <c r="B11" s="12"/>
      <c r="C11" s="7">
        <v>46063</v>
      </c>
      <c r="D11" s="7">
        <v>46112</v>
      </c>
      <c r="E11" s="6" t="s">
        <v>5</v>
      </c>
      <c r="F11" s="13">
        <f>+NETWORKDAYS(C11,D11)</f>
        <v>36</v>
      </c>
      <c r="G11" s="29"/>
      <c r="H11" s="8" t="s">
        <v>98</v>
      </c>
    </row>
    <row r="12" spans="1:10" ht="13.95" customHeight="1" x14ac:dyDescent="0.3">
      <c r="A12" s="12" t="s">
        <v>23</v>
      </c>
      <c r="B12" s="12"/>
      <c r="C12" s="7">
        <v>46063</v>
      </c>
      <c r="D12" s="7">
        <v>46112</v>
      </c>
      <c r="E12" s="6" t="s">
        <v>6</v>
      </c>
      <c r="F12" s="13">
        <f>+NETWORKDAYS(C12,D12)</f>
        <v>36</v>
      </c>
      <c r="G12" s="29"/>
      <c r="H12" s="8" t="s">
        <v>98</v>
      </c>
    </row>
    <row r="13" spans="1:10" ht="13.95" customHeight="1" x14ac:dyDescent="0.3">
      <c r="A13" s="12" t="s">
        <v>90</v>
      </c>
      <c r="B13" s="12"/>
      <c r="C13" s="7">
        <v>46069</v>
      </c>
      <c r="D13" s="7">
        <v>46080</v>
      </c>
      <c r="E13" s="6" t="s">
        <v>41</v>
      </c>
      <c r="F13" s="13">
        <f>+NETWORKDAYS(C13,D13)</f>
        <v>10</v>
      </c>
      <c r="G13" s="29"/>
      <c r="H13" s="8" t="s">
        <v>98</v>
      </c>
    </row>
    <row r="14" spans="1:10" s="14" customFormat="1" ht="15.6" customHeight="1" x14ac:dyDescent="0.3">
      <c r="A14" s="12" t="s">
        <v>9</v>
      </c>
      <c r="B14" s="12"/>
      <c r="C14" s="7">
        <f>D8</f>
        <v>46069</v>
      </c>
      <c r="D14" s="7">
        <f>C14+3</f>
        <v>46072</v>
      </c>
      <c r="E14" s="15" t="s">
        <v>6</v>
      </c>
      <c r="F14" s="13">
        <f t="shared" ref="F14" si="1">+NETWORKDAYS(C14,D14)</f>
        <v>4</v>
      </c>
      <c r="G14" s="29"/>
      <c r="H14" s="8" t="s">
        <v>98</v>
      </c>
    </row>
    <row r="15" spans="1:10" ht="13.95" customHeight="1" x14ac:dyDescent="0.3">
      <c r="A15" s="12" t="s">
        <v>19</v>
      </c>
      <c r="B15" s="12"/>
      <c r="C15" s="7">
        <f>D14</f>
        <v>46072</v>
      </c>
      <c r="D15" s="7">
        <f>C15+4</f>
        <v>46076</v>
      </c>
      <c r="E15" s="15" t="s">
        <v>6</v>
      </c>
      <c r="F15" s="13">
        <f t="shared" ref="F15:F21" si="2">+NETWORKDAYS(C15,D15)</f>
        <v>3</v>
      </c>
      <c r="G15" s="29"/>
      <c r="H15" s="8" t="s">
        <v>98</v>
      </c>
    </row>
    <row r="16" spans="1:10" ht="13.95" customHeight="1" x14ac:dyDescent="0.3">
      <c r="A16" s="12" t="s">
        <v>8</v>
      </c>
      <c r="B16" s="12"/>
      <c r="C16" s="7">
        <v>46083</v>
      </c>
      <c r="D16" s="7">
        <f>C16+8</f>
        <v>46091</v>
      </c>
      <c r="E16" s="15" t="s">
        <v>6</v>
      </c>
      <c r="F16" s="16">
        <f t="shared" ref="F16" si="3">+NETWORKDAYS(C16,D16)</f>
        <v>7</v>
      </c>
      <c r="G16" s="30"/>
      <c r="H16" s="8" t="s">
        <v>98</v>
      </c>
    </row>
    <row r="17" spans="1:8" ht="14.25" customHeight="1" x14ac:dyDescent="0.3">
      <c r="A17" s="12" t="s">
        <v>14</v>
      </c>
      <c r="B17" s="12"/>
      <c r="C17" s="7">
        <v>46084</v>
      </c>
      <c r="D17" s="7">
        <v>46112</v>
      </c>
      <c r="E17" s="6" t="s">
        <v>5</v>
      </c>
      <c r="F17" s="13">
        <f>+NETWORKDAYS(C17,D17)</f>
        <v>21</v>
      </c>
      <c r="G17" s="29"/>
      <c r="H17" s="8" t="s">
        <v>98</v>
      </c>
    </row>
    <row r="18" spans="1:8" ht="13.95" customHeight="1" x14ac:dyDescent="0.3">
      <c r="A18" s="12" t="s">
        <v>17</v>
      </c>
      <c r="B18" s="12"/>
      <c r="C18" s="7">
        <v>46084</v>
      </c>
      <c r="D18" s="7">
        <v>46112</v>
      </c>
      <c r="E18" s="6" t="s">
        <v>5</v>
      </c>
      <c r="F18" s="13">
        <f>+NETWORKDAYS(C18,D18)</f>
        <v>21</v>
      </c>
      <c r="G18" s="29"/>
      <c r="H18" s="8" t="s">
        <v>98</v>
      </c>
    </row>
    <row r="19" spans="1:8" ht="13.95" customHeight="1" x14ac:dyDescent="0.3">
      <c r="A19" s="12" t="s">
        <v>29</v>
      </c>
      <c r="B19" s="12"/>
      <c r="C19" s="7">
        <v>46084</v>
      </c>
      <c r="D19" s="7">
        <v>46112</v>
      </c>
      <c r="E19" s="6" t="s">
        <v>6</v>
      </c>
      <c r="F19" s="13">
        <f t="shared" si="2"/>
        <v>21</v>
      </c>
      <c r="G19" s="29"/>
      <c r="H19" s="8" t="s">
        <v>98</v>
      </c>
    </row>
    <row r="20" spans="1:8" ht="13.95" customHeight="1" x14ac:dyDescent="0.3">
      <c r="A20" s="12" t="s">
        <v>33</v>
      </c>
      <c r="B20" s="12"/>
      <c r="C20" s="7">
        <v>46084</v>
      </c>
      <c r="D20" s="7">
        <v>46142</v>
      </c>
      <c r="E20" s="6" t="s">
        <v>6</v>
      </c>
      <c r="F20" s="13">
        <f t="shared" si="2"/>
        <v>43</v>
      </c>
      <c r="G20" s="29"/>
      <c r="H20" s="8" t="s">
        <v>98</v>
      </c>
    </row>
    <row r="21" spans="1:8" ht="13.95" customHeight="1" x14ac:dyDescent="0.3">
      <c r="A21" s="12" t="s">
        <v>34</v>
      </c>
      <c r="B21" s="12"/>
      <c r="C21" s="7">
        <v>46084</v>
      </c>
      <c r="D21" s="7">
        <v>46142</v>
      </c>
      <c r="E21" s="6" t="s">
        <v>6</v>
      </c>
      <c r="F21" s="13">
        <f t="shared" si="2"/>
        <v>43</v>
      </c>
      <c r="G21" s="29"/>
      <c r="H21" s="8" t="s">
        <v>98</v>
      </c>
    </row>
    <row r="22" spans="1:8" ht="13.95" customHeight="1" x14ac:dyDescent="0.3">
      <c r="A22" s="12" t="s">
        <v>28</v>
      </c>
      <c r="B22" s="12"/>
      <c r="C22" s="7">
        <v>46084</v>
      </c>
      <c r="D22" s="7">
        <v>46112</v>
      </c>
      <c r="E22" s="6" t="s">
        <v>6</v>
      </c>
      <c r="F22" s="13">
        <f t="shared" ref="F22" si="4">+NETWORKDAYS(C22,D22)</f>
        <v>21</v>
      </c>
      <c r="G22" s="29"/>
      <c r="H22" s="8" t="s">
        <v>98</v>
      </c>
    </row>
    <row r="23" spans="1:8" ht="13.95" customHeight="1" x14ac:dyDescent="0.3">
      <c r="A23" s="12" t="s">
        <v>20</v>
      </c>
      <c r="B23" s="12"/>
      <c r="C23" s="7">
        <v>46084</v>
      </c>
      <c r="D23" s="7">
        <v>46112</v>
      </c>
      <c r="E23" s="6" t="s">
        <v>6</v>
      </c>
      <c r="F23" s="13">
        <f t="shared" ref="F23:F29" si="5">+NETWORKDAYS(C23,D23)</f>
        <v>21</v>
      </c>
      <c r="G23" s="29"/>
      <c r="H23" s="8" t="s">
        <v>98</v>
      </c>
    </row>
    <row r="24" spans="1:8" ht="13.95" customHeight="1" x14ac:dyDescent="0.3">
      <c r="A24" s="12" t="s">
        <v>27</v>
      </c>
      <c r="B24" s="12"/>
      <c r="C24" s="7">
        <v>46084</v>
      </c>
      <c r="D24" s="7">
        <v>46203</v>
      </c>
      <c r="E24" s="6" t="s">
        <v>6</v>
      </c>
      <c r="F24" s="13">
        <f t="shared" si="5"/>
        <v>86</v>
      </c>
      <c r="G24" s="29"/>
      <c r="H24" s="8" t="s">
        <v>98</v>
      </c>
    </row>
    <row r="25" spans="1:8" ht="13.95" customHeight="1" x14ac:dyDescent="0.3">
      <c r="A25" s="12" t="s">
        <v>24</v>
      </c>
      <c r="B25" s="12"/>
      <c r="C25" s="7">
        <v>46084</v>
      </c>
      <c r="D25" s="7">
        <v>46203</v>
      </c>
      <c r="E25" s="6" t="s">
        <v>5</v>
      </c>
      <c r="F25" s="13">
        <f t="shared" si="5"/>
        <v>86</v>
      </c>
      <c r="G25" s="29"/>
      <c r="H25" s="8" t="s">
        <v>98</v>
      </c>
    </row>
    <row r="26" spans="1:8" ht="13.95" customHeight="1" x14ac:dyDescent="0.3">
      <c r="A26" s="12" t="s">
        <v>26</v>
      </c>
      <c r="B26" s="12"/>
      <c r="C26" s="7">
        <v>46084</v>
      </c>
      <c r="D26" s="7">
        <v>46203</v>
      </c>
      <c r="E26" s="6" t="s">
        <v>5</v>
      </c>
      <c r="F26" s="13">
        <f t="shared" si="5"/>
        <v>86</v>
      </c>
      <c r="G26" s="29"/>
      <c r="H26" s="8" t="s">
        <v>98</v>
      </c>
    </row>
    <row r="27" spans="1:8" ht="13.95" customHeight="1" x14ac:dyDescent="0.3">
      <c r="A27" s="12" t="s">
        <v>25</v>
      </c>
      <c r="B27" s="12"/>
      <c r="C27" s="7">
        <v>46084</v>
      </c>
      <c r="D27" s="7">
        <v>46203</v>
      </c>
      <c r="E27" s="6" t="s">
        <v>6</v>
      </c>
      <c r="F27" s="13">
        <f t="shared" si="5"/>
        <v>86</v>
      </c>
      <c r="G27" s="29"/>
      <c r="H27" s="8" t="s">
        <v>98</v>
      </c>
    </row>
    <row r="28" spans="1:8" ht="13.95" customHeight="1" x14ac:dyDescent="0.3">
      <c r="A28" s="12" t="s">
        <v>15</v>
      </c>
      <c r="B28" s="12"/>
      <c r="C28" s="7">
        <v>46237</v>
      </c>
      <c r="D28" s="7">
        <v>46265</v>
      </c>
      <c r="E28" s="6" t="s">
        <v>6</v>
      </c>
      <c r="F28" s="13">
        <f t="shared" si="5"/>
        <v>21</v>
      </c>
      <c r="G28" s="29"/>
      <c r="H28" s="8" t="s">
        <v>98</v>
      </c>
    </row>
    <row r="29" spans="1:8" ht="13.95" customHeight="1" x14ac:dyDescent="0.3">
      <c r="A29" s="12" t="s">
        <v>21</v>
      </c>
      <c r="B29" s="12"/>
      <c r="C29" s="7">
        <v>46266</v>
      </c>
      <c r="D29" s="7">
        <v>46295</v>
      </c>
      <c r="E29" s="6" t="s">
        <v>6</v>
      </c>
      <c r="F29" s="13">
        <f t="shared" si="5"/>
        <v>22</v>
      </c>
      <c r="G29" s="29"/>
      <c r="H29" s="8" t="s">
        <v>98</v>
      </c>
    </row>
    <row r="30" spans="1:8" ht="14.4" customHeight="1" x14ac:dyDescent="0.3">
      <c r="A30" s="9" t="s">
        <v>85</v>
      </c>
      <c r="B30" s="9"/>
      <c r="C30" s="7"/>
      <c r="D30" s="7"/>
      <c r="E30" s="6"/>
      <c r="F30" s="13"/>
      <c r="G30" s="13"/>
      <c r="H30" s="8"/>
    </row>
    <row r="31" spans="1:8" ht="15.6" x14ac:dyDescent="0.3">
      <c r="A31" s="9"/>
      <c r="B31" s="9"/>
      <c r="C31" s="7"/>
      <c r="D31" s="7"/>
      <c r="E31" s="6"/>
      <c r="F31" s="13"/>
      <c r="G31" s="13"/>
      <c r="H31" s="8"/>
    </row>
    <row r="32" spans="1:8" ht="15.6" x14ac:dyDescent="0.3">
      <c r="A32" s="9" t="s">
        <v>37</v>
      </c>
      <c r="B32" s="9"/>
      <c r="C32" s="10"/>
      <c r="D32" s="10"/>
      <c r="E32" s="6"/>
      <c r="F32" s="11"/>
      <c r="G32" s="11"/>
      <c r="H32" s="8"/>
    </row>
    <row r="33" spans="1:8" ht="13.95" customHeight="1" x14ac:dyDescent="0.3">
      <c r="A33" s="12" t="s">
        <v>38</v>
      </c>
      <c r="B33" s="12"/>
      <c r="C33" s="7">
        <v>46063</v>
      </c>
      <c r="D33" s="7">
        <v>46069</v>
      </c>
      <c r="E33" s="15" t="s">
        <v>6</v>
      </c>
      <c r="F33" s="13">
        <f>+NETWORKDAYS(C33,D33)</f>
        <v>5</v>
      </c>
      <c r="G33" s="29"/>
      <c r="H33" s="8"/>
    </row>
    <row r="34" spans="1:8" s="14" customFormat="1" ht="15.6" customHeight="1" x14ac:dyDescent="0.3">
      <c r="A34" s="12" t="s">
        <v>39</v>
      </c>
      <c r="B34" s="12"/>
      <c r="C34" s="7">
        <v>46063</v>
      </c>
      <c r="D34" s="7">
        <f>D33+8</f>
        <v>46077</v>
      </c>
      <c r="E34" s="15" t="s">
        <v>6</v>
      </c>
      <c r="F34" s="13">
        <f t="shared" ref="F34:F37" si="6">+NETWORKDAYS(C34,D34)</f>
        <v>11</v>
      </c>
      <c r="G34" s="29"/>
      <c r="H34" s="8"/>
    </row>
    <row r="35" spans="1:8" ht="14.4" customHeight="1" x14ac:dyDescent="0.3">
      <c r="A35" s="12" t="s">
        <v>13</v>
      </c>
      <c r="B35" s="12"/>
      <c r="C35" s="7">
        <v>46069</v>
      </c>
      <c r="D35" s="7">
        <v>46080</v>
      </c>
      <c r="E35" s="15" t="s">
        <v>6</v>
      </c>
      <c r="F35" s="13">
        <f t="shared" si="6"/>
        <v>10</v>
      </c>
      <c r="G35" s="29"/>
      <c r="H35" s="8"/>
    </row>
    <row r="36" spans="1:8" ht="14.25" customHeight="1" x14ac:dyDescent="0.3">
      <c r="A36" s="12" t="s">
        <v>12</v>
      </c>
      <c r="B36" s="12"/>
      <c r="C36" s="7">
        <v>46069</v>
      </c>
      <c r="D36" s="7">
        <v>46080</v>
      </c>
      <c r="E36" s="15" t="s">
        <v>6</v>
      </c>
      <c r="F36" s="13">
        <f t="shared" si="6"/>
        <v>10</v>
      </c>
      <c r="G36" s="29"/>
      <c r="H36" s="8"/>
    </row>
    <row r="37" spans="1:8" ht="14.25" customHeight="1" x14ac:dyDescent="0.3">
      <c r="A37" s="12" t="s">
        <v>40</v>
      </c>
      <c r="B37" s="12"/>
      <c r="C37" s="7">
        <v>46063</v>
      </c>
      <c r="D37" s="7">
        <v>46069</v>
      </c>
      <c r="E37" s="6" t="s">
        <v>41</v>
      </c>
      <c r="F37" s="13">
        <f t="shared" si="6"/>
        <v>5</v>
      </c>
      <c r="G37" s="29"/>
      <c r="H37" s="8"/>
    </row>
    <row r="38" spans="1:8" ht="14.25" customHeight="1" x14ac:dyDescent="0.3">
      <c r="A38" s="12" t="s">
        <v>43</v>
      </c>
      <c r="B38" s="12"/>
      <c r="C38" s="7">
        <v>46084</v>
      </c>
      <c r="D38" s="7">
        <f>C38+8</f>
        <v>46092</v>
      </c>
      <c r="E38" s="6" t="s">
        <v>41</v>
      </c>
      <c r="F38" s="13">
        <f t="shared" ref="F38" si="7">+NETWORKDAYS(C38,D38)</f>
        <v>7</v>
      </c>
      <c r="G38" s="29"/>
      <c r="H38" s="8"/>
    </row>
    <row r="39" spans="1:8" ht="15.6" x14ac:dyDescent="0.3">
      <c r="A39" s="9" t="s">
        <v>42</v>
      </c>
      <c r="B39" s="9"/>
      <c r="C39" s="10"/>
      <c r="D39" s="10"/>
      <c r="E39" s="6"/>
      <c r="F39" s="11"/>
      <c r="G39" s="11"/>
      <c r="H39" s="8"/>
    </row>
    <row r="40" spans="1:8" ht="13.95" customHeight="1" x14ac:dyDescent="0.3">
      <c r="A40" s="12" t="s">
        <v>44</v>
      </c>
      <c r="B40" s="12"/>
      <c r="C40" s="7">
        <v>46063</v>
      </c>
      <c r="D40" s="7">
        <v>46080</v>
      </c>
      <c r="E40" s="15" t="s">
        <v>41</v>
      </c>
      <c r="F40" s="13">
        <f>+NETWORKDAYS(C40,D40)</f>
        <v>14</v>
      </c>
      <c r="G40" s="29"/>
      <c r="H40" s="8"/>
    </row>
    <row r="41" spans="1:8" ht="13.95" customHeight="1" x14ac:dyDescent="0.3">
      <c r="A41" s="17"/>
      <c r="B41" s="17"/>
      <c r="C41" s="19"/>
      <c r="D41" s="19"/>
      <c r="E41" s="18"/>
      <c r="F41" s="20"/>
      <c r="G41" s="20"/>
      <c r="H41" s="8"/>
    </row>
    <row r="42" spans="1:8" ht="12.6" customHeight="1" x14ac:dyDescent="0.3">
      <c r="A42" s="9" t="s">
        <v>86</v>
      </c>
      <c r="B42" s="9"/>
      <c r="C42" s="7"/>
      <c r="D42" s="7"/>
      <c r="E42" s="6"/>
      <c r="F42" s="13"/>
      <c r="G42" s="13"/>
      <c r="H42" s="8"/>
    </row>
    <row r="43" spans="1:8" ht="15.6" x14ac:dyDescent="0.3">
      <c r="A43" s="9"/>
      <c r="B43" s="9"/>
      <c r="C43" s="7"/>
      <c r="D43" s="7"/>
      <c r="E43" s="6"/>
      <c r="F43" s="13"/>
      <c r="G43" s="13"/>
      <c r="H43" s="8"/>
    </row>
    <row r="44" spans="1:8" ht="13.95" customHeight="1" x14ac:dyDescent="0.3">
      <c r="A44" s="25" t="s">
        <v>45</v>
      </c>
      <c r="B44" s="25"/>
      <c r="C44" s="7"/>
      <c r="D44" s="7"/>
      <c r="E44" s="6"/>
      <c r="F44" s="13"/>
      <c r="G44" s="13"/>
      <c r="H44" s="8"/>
    </row>
    <row r="45" spans="1:8" ht="14.4" customHeight="1" x14ac:dyDescent="0.3">
      <c r="A45" s="26" t="s">
        <v>46</v>
      </c>
      <c r="B45" s="26"/>
      <c r="C45" s="7">
        <v>46062</v>
      </c>
      <c r="D45" s="7">
        <v>46062</v>
      </c>
      <c r="E45" s="6" t="s">
        <v>41</v>
      </c>
      <c r="F45" s="13">
        <f>+NETWORKDAYS(C45,D45)</f>
        <v>1</v>
      </c>
      <c r="G45" s="29"/>
      <c r="H45" s="8"/>
    </row>
    <row r="46" spans="1:8" ht="14.25" customHeight="1" x14ac:dyDescent="0.3">
      <c r="A46" s="26" t="s">
        <v>47</v>
      </c>
      <c r="B46" s="26"/>
      <c r="C46" s="7">
        <v>46066</v>
      </c>
      <c r="D46" s="7">
        <f>C46+0.5</f>
        <v>46066.5</v>
      </c>
      <c r="E46" s="6" t="s">
        <v>41</v>
      </c>
      <c r="F46" s="13">
        <f>+NETWORKDAYS(C46,D46)</f>
        <v>1</v>
      </c>
      <c r="G46" s="29"/>
      <c r="H46" s="8"/>
    </row>
    <row r="47" spans="1:8" ht="14.25" customHeight="1" x14ac:dyDescent="0.3">
      <c r="A47" s="26" t="s">
        <v>48</v>
      </c>
      <c r="B47" s="26"/>
      <c r="C47" s="7">
        <v>46094</v>
      </c>
      <c r="D47" s="7">
        <v>46094</v>
      </c>
      <c r="E47" s="6" t="s">
        <v>6</v>
      </c>
      <c r="F47" s="13">
        <f t="shared" ref="F47" si="8">+NETWORKDAYS(C47,D47)</f>
        <v>1</v>
      </c>
      <c r="G47" s="29"/>
      <c r="H47" s="8"/>
    </row>
    <row r="48" spans="1:8" ht="14.25" customHeight="1" x14ac:dyDescent="0.3">
      <c r="A48" s="26" t="s">
        <v>49</v>
      </c>
      <c r="B48" s="26"/>
      <c r="C48" s="7">
        <v>46094</v>
      </c>
      <c r="D48" s="7">
        <v>46122</v>
      </c>
      <c r="E48" s="6" t="s">
        <v>6</v>
      </c>
      <c r="F48" s="13">
        <f>+NETWORKDAYS(C48,D48)</f>
        <v>21</v>
      </c>
      <c r="G48" s="29"/>
      <c r="H48" s="8"/>
    </row>
    <row r="49" spans="1:8" ht="14.25" customHeight="1" x14ac:dyDescent="0.3">
      <c r="A49" s="26" t="s">
        <v>55</v>
      </c>
      <c r="B49" s="26"/>
      <c r="C49" s="7">
        <v>46132</v>
      </c>
      <c r="D49" s="7">
        <v>46142</v>
      </c>
      <c r="E49" s="6" t="s">
        <v>6</v>
      </c>
      <c r="F49" s="13">
        <f>+NETWORKDAYS(C49,D49)</f>
        <v>9</v>
      </c>
      <c r="G49" s="29"/>
      <c r="H49" s="8"/>
    </row>
    <row r="50" spans="1:8" ht="14.25" customHeight="1" x14ac:dyDescent="0.3">
      <c r="A50" s="25" t="s">
        <v>60</v>
      </c>
      <c r="B50" s="25"/>
      <c r="C50" s="7"/>
      <c r="D50" s="7"/>
      <c r="E50" s="6"/>
      <c r="F50" s="13"/>
      <c r="G50" s="13"/>
      <c r="H50" s="8"/>
    </row>
    <row r="51" spans="1:8" ht="14.25" customHeight="1" x14ac:dyDescent="0.3">
      <c r="A51" s="26" t="s">
        <v>50</v>
      </c>
      <c r="B51" s="26"/>
      <c r="C51" s="7">
        <v>46143</v>
      </c>
      <c r="D51" s="7">
        <v>46171</v>
      </c>
      <c r="E51" s="6" t="s">
        <v>51</v>
      </c>
      <c r="F51" s="13">
        <f t="shared" ref="F51:F53" si="9">+NETWORKDAYS(C51,D51)</f>
        <v>21</v>
      </c>
      <c r="G51" s="29"/>
      <c r="H51" s="8"/>
    </row>
    <row r="52" spans="1:8" ht="14.25" customHeight="1" x14ac:dyDescent="0.3">
      <c r="A52" s="26" t="s">
        <v>52</v>
      </c>
      <c r="B52" s="26"/>
      <c r="C52" s="7">
        <v>46174</v>
      </c>
      <c r="D52" s="7">
        <v>46220</v>
      </c>
      <c r="E52" s="6" t="s">
        <v>5</v>
      </c>
      <c r="F52" s="13">
        <f t="shared" si="9"/>
        <v>35</v>
      </c>
      <c r="G52" s="29"/>
      <c r="H52" s="8"/>
    </row>
    <row r="53" spans="1:8" ht="14.25" customHeight="1" x14ac:dyDescent="0.3">
      <c r="A53" s="26" t="s">
        <v>53</v>
      </c>
      <c r="B53" s="26"/>
      <c r="C53" s="7">
        <v>46209</v>
      </c>
      <c r="D53" s="7">
        <v>46262</v>
      </c>
      <c r="E53" s="6" t="s">
        <v>6</v>
      </c>
      <c r="F53" s="13">
        <f t="shared" si="9"/>
        <v>40</v>
      </c>
      <c r="G53" s="29"/>
      <c r="H53" s="8"/>
    </row>
    <row r="54" spans="1:8" ht="14.25" customHeight="1" x14ac:dyDescent="0.3">
      <c r="A54" s="27" t="s">
        <v>54</v>
      </c>
      <c r="B54" s="27"/>
      <c r="C54" s="7">
        <v>46265</v>
      </c>
      <c r="D54" s="7">
        <v>46269</v>
      </c>
      <c r="E54" s="6" t="s">
        <v>6</v>
      </c>
      <c r="F54" s="13">
        <f>+NETWORKDAYS(C54,D54)</f>
        <v>5</v>
      </c>
      <c r="G54" s="29"/>
      <c r="H54" s="8"/>
    </row>
    <row r="55" spans="1:8" ht="14.25" customHeight="1" x14ac:dyDescent="0.3">
      <c r="A55" s="25" t="s">
        <v>56</v>
      </c>
      <c r="B55" s="25"/>
      <c r="C55" s="7"/>
      <c r="D55" s="7"/>
      <c r="E55" s="6"/>
      <c r="F55" s="13"/>
      <c r="G55" s="13"/>
      <c r="H55" s="8"/>
    </row>
    <row r="56" spans="1:8" ht="14.25" customHeight="1" x14ac:dyDescent="0.3">
      <c r="A56" s="26" t="s">
        <v>4</v>
      </c>
      <c r="B56" s="26"/>
      <c r="C56" s="7">
        <v>46272</v>
      </c>
      <c r="D56" s="7">
        <v>46290</v>
      </c>
      <c r="E56" s="6" t="s">
        <v>5</v>
      </c>
      <c r="F56" s="13">
        <f t="shared" ref="F56:F57" si="10">+NETWORKDAYS(C56,D56)</f>
        <v>15</v>
      </c>
      <c r="G56" s="29"/>
      <c r="H56" s="8"/>
    </row>
    <row r="57" spans="1:8" ht="14.25" customHeight="1" x14ac:dyDescent="0.3">
      <c r="A57" s="26" t="s">
        <v>57</v>
      </c>
      <c r="B57" s="26"/>
      <c r="C57" s="7">
        <v>46272</v>
      </c>
      <c r="D57" s="7">
        <v>46290</v>
      </c>
      <c r="E57" s="6" t="s">
        <v>6</v>
      </c>
      <c r="F57" s="13">
        <f t="shared" si="10"/>
        <v>15</v>
      </c>
      <c r="G57" s="29"/>
      <c r="H57" s="8"/>
    </row>
    <row r="58" spans="1:8" ht="14.25" customHeight="1" x14ac:dyDescent="0.3">
      <c r="A58" s="26" t="s">
        <v>58</v>
      </c>
      <c r="B58" s="26"/>
      <c r="C58" s="7">
        <v>46293</v>
      </c>
      <c r="D58" s="7">
        <v>46332</v>
      </c>
      <c r="E58" s="6" t="s">
        <v>5</v>
      </c>
      <c r="F58" s="13">
        <f t="shared" ref="F58" si="11">+NETWORKDAYS(C58,D58)</f>
        <v>30</v>
      </c>
      <c r="G58" s="29"/>
      <c r="H58" s="8"/>
    </row>
    <row r="59" spans="1:8" ht="14.25" customHeight="1" x14ac:dyDescent="0.3">
      <c r="A59" s="26" t="s">
        <v>59</v>
      </c>
      <c r="B59" s="26"/>
      <c r="C59" s="7">
        <v>46335</v>
      </c>
      <c r="D59" s="7">
        <v>46367</v>
      </c>
      <c r="E59" s="6" t="s">
        <v>6</v>
      </c>
      <c r="F59" s="13">
        <f t="shared" ref="F59" si="12">+NETWORKDAYS(C59,D59)</f>
        <v>25</v>
      </c>
      <c r="G59" s="29"/>
      <c r="H59" s="8"/>
    </row>
    <row r="60" spans="1:8" ht="14.25" customHeight="1" x14ac:dyDescent="0.3">
      <c r="A60" s="27" t="s">
        <v>54</v>
      </c>
      <c r="B60" s="27"/>
      <c r="C60" s="7">
        <v>46370</v>
      </c>
      <c r="D60" s="7">
        <v>46374</v>
      </c>
      <c r="E60" s="6" t="s">
        <v>51</v>
      </c>
      <c r="F60" s="13">
        <f>+NETWORKDAYS(C60,D60)</f>
        <v>5</v>
      </c>
      <c r="G60" s="29"/>
      <c r="H60" s="8"/>
    </row>
    <row r="61" spans="1:8" ht="14.25" customHeight="1" x14ac:dyDescent="0.3">
      <c r="A61" s="21"/>
      <c r="B61" s="21"/>
      <c r="C61" s="7"/>
      <c r="D61" s="7"/>
      <c r="E61" s="6"/>
      <c r="F61" s="13"/>
      <c r="G61" s="13"/>
      <c r="H61" s="8"/>
    </row>
    <row r="62" spans="1:8" ht="15" customHeight="1" x14ac:dyDescent="0.3">
      <c r="A62" s="9" t="s">
        <v>87</v>
      </c>
      <c r="B62" s="9"/>
      <c r="C62" s="7"/>
      <c r="D62" s="7"/>
      <c r="E62" s="6"/>
      <c r="F62" s="13"/>
      <c r="G62" s="13"/>
      <c r="H62" s="8"/>
    </row>
    <row r="63" spans="1:8" ht="15.6" x14ac:dyDescent="0.3">
      <c r="A63" s="9"/>
      <c r="B63" s="9"/>
      <c r="C63" s="7"/>
      <c r="D63" s="7"/>
      <c r="E63" s="6"/>
      <c r="F63" s="13"/>
      <c r="G63" s="13"/>
      <c r="H63" s="8"/>
    </row>
    <row r="64" spans="1:8" ht="15.6" x14ac:dyDescent="0.3">
      <c r="A64" s="25" t="s">
        <v>65</v>
      </c>
      <c r="B64" s="25"/>
      <c r="C64" s="10"/>
      <c r="D64" s="10"/>
      <c r="E64" s="6"/>
      <c r="F64" s="11"/>
      <c r="G64" s="11"/>
      <c r="H64" s="8"/>
    </row>
    <row r="65" spans="1:8" ht="14.25" customHeight="1" x14ac:dyDescent="0.3">
      <c r="A65" s="26" t="s">
        <v>61</v>
      </c>
      <c r="B65" s="26"/>
      <c r="C65" s="7">
        <v>46062</v>
      </c>
      <c r="D65" s="7">
        <v>46142</v>
      </c>
      <c r="E65" s="6" t="s">
        <v>41</v>
      </c>
      <c r="F65" s="13">
        <f>+NETWORKDAYS(C65,D65)</f>
        <v>59</v>
      </c>
      <c r="G65" s="29"/>
      <c r="H65" s="8"/>
    </row>
    <row r="66" spans="1:8" ht="14.25" customHeight="1" x14ac:dyDescent="0.3">
      <c r="A66" s="26" t="s">
        <v>64</v>
      </c>
      <c r="B66" s="26"/>
      <c r="C66" s="7">
        <v>46063</v>
      </c>
      <c r="D66" s="7">
        <v>46111</v>
      </c>
      <c r="E66" s="6" t="s">
        <v>41</v>
      </c>
      <c r="F66" s="13">
        <f>+NETWORKDAYS(C66,D66)</f>
        <v>35</v>
      </c>
      <c r="G66" s="29"/>
      <c r="H66" s="8"/>
    </row>
    <row r="67" spans="1:8" ht="14.25" customHeight="1" x14ac:dyDescent="0.3">
      <c r="A67" s="26" t="s">
        <v>83</v>
      </c>
      <c r="B67" s="26"/>
      <c r="C67" s="7">
        <v>46063</v>
      </c>
      <c r="D67" s="7">
        <v>46084</v>
      </c>
      <c r="E67" s="6" t="s">
        <v>51</v>
      </c>
      <c r="F67" s="13">
        <f t="shared" ref="F67" si="13">+NETWORKDAYS(C67,D67)</f>
        <v>16</v>
      </c>
      <c r="G67" s="29"/>
      <c r="H67" s="8"/>
    </row>
    <row r="68" spans="1:8" ht="14.25" customHeight="1" x14ac:dyDescent="0.3">
      <c r="A68" s="26" t="s">
        <v>62</v>
      </c>
      <c r="B68" s="26"/>
      <c r="C68" s="7">
        <v>46063</v>
      </c>
      <c r="D68" s="7">
        <v>46111</v>
      </c>
      <c r="E68" s="6" t="s">
        <v>51</v>
      </c>
      <c r="F68" s="13">
        <f>+NETWORKDAYS(C68,D68)</f>
        <v>35</v>
      </c>
      <c r="G68" s="29"/>
      <c r="H68" s="8"/>
    </row>
    <row r="69" spans="1:8" ht="14.25" customHeight="1" x14ac:dyDescent="0.3">
      <c r="A69" s="26" t="s">
        <v>31</v>
      </c>
      <c r="B69" s="26"/>
      <c r="C69" s="7">
        <v>46113</v>
      </c>
      <c r="D69" s="7">
        <v>46171</v>
      </c>
      <c r="E69" s="6" t="s">
        <v>51</v>
      </c>
      <c r="F69" s="13">
        <f>+NETWORKDAYS(C69,D69)</f>
        <v>43</v>
      </c>
      <c r="G69" s="29"/>
      <c r="H69" s="8"/>
    </row>
    <row r="70" spans="1:8" ht="14.25" customHeight="1" x14ac:dyDescent="0.3">
      <c r="A70" s="26" t="s">
        <v>63</v>
      </c>
      <c r="B70" s="26"/>
      <c r="C70" s="7">
        <v>46174</v>
      </c>
      <c r="D70" s="7">
        <v>46204</v>
      </c>
      <c r="E70" s="6" t="s">
        <v>51</v>
      </c>
      <c r="F70" s="13">
        <f t="shared" ref="F70" si="14">+NETWORKDAYS(C70,D70)</f>
        <v>23</v>
      </c>
      <c r="G70" s="29"/>
      <c r="H70" s="8"/>
    </row>
    <row r="71" spans="1:8" ht="14.25" customHeight="1" x14ac:dyDescent="0.3">
      <c r="A71" s="26" t="s">
        <v>18</v>
      </c>
      <c r="B71" s="26"/>
      <c r="C71" s="7">
        <v>46204</v>
      </c>
      <c r="D71" s="7">
        <v>46265</v>
      </c>
      <c r="E71" s="6" t="s">
        <v>51</v>
      </c>
      <c r="F71" s="13">
        <f t="shared" ref="F71" si="15">+NETWORKDAYS(C71,D71)</f>
        <v>44</v>
      </c>
      <c r="G71" s="29"/>
      <c r="H71" s="8"/>
    </row>
    <row r="72" spans="1:8" ht="14.25" customHeight="1" x14ac:dyDescent="0.3">
      <c r="A72" s="26"/>
      <c r="B72" s="26"/>
      <c r="C72" s="7"/>
      <c r="D72" s="7"/>
      <c r="E72" s="6"/>
      <c r="F72" s="13"/>
      <c r="G72" s="13"/>
      <c r="H72" s="8"/>
    </row>
    <row r="73" spans="1:8" ht="14.25" customHeight="1" x14ac:dyDescent="0.3">
      <c r="A73" s="25" t="s">
        <v>3</v>
      </c>
      <c r="B73" s="25"/>
      <c r="C73" s="7"/>
      <c r="D73" s="7"/>
      <c r="E73" s="6"/>
      <c r="F73" s="13"/>
      <c r="G73" s="13"/>
      <c r="H73" s="8"/>
    </row>
    <row r="74" spans="1:8" ht="14.25" customHeight="1" x14ac:dyDescent="0.3">
      <c r="A74" s="26" t="s">
        <v>67</v>
      </c>
      <c r="B74" s="26"/>
      <c r="C74" s="7">
        <v>46235</v>
      </c>
      <c r="D74" s="7">
        <v>46295</v>
      </c>
      <c r="E74" s="6" t="s">
        <v>51</v>
      </c>
      <c r="F74" s="13">
        <f>+NETWORKDAYS(C74,D74)</f>
        <v>43</v>
      </c>
      <c r="G74" s="29"/>
      <c r="H74" s="8"/>
    </row>
    <row r="75" spans="1:8" ht="14.25" customHeight="1" x14ac:dyDescent="0.3">
      <c r="A75" s="26" t="s">
        <v>66</v>
      </c>
      <c r="B75" s="26"/>
      <c r="C75" s="7">
        <v>46204</v>
      </c>
      <c r="D75" s="7">
        <v>46295</v>
      </c>
      <c r="E75" s="6" t="s">
        <v>51</v>
      </c>
      <c r="F75" s="13">
        <f>+NETWORKDAYS(C75,D75)</f>
        <v>66</v>
      </c>
      <c r="G75" s="29"/>
      <c r="H75" s="8"/>
    </row>
    <row r="76" spans="1:8" ht="14.25" customHeight="1" x14ac:dyDescent="0.3">
      <c r="A76" s="26"/>
      <c r="B76" s="26"/>
      <c r="C76" s="7"/>
      <c r="D76" s="7"/>
      <c r="E76" s="6"/>
      <c r="F76" s="13"/>
      <c r="G76" s="13"/>
      <c r="H76" s="8"/>
    </row>
    <row r="77" spans="1:8" ht="14.25" customHeight="1" x14ac:dyDescent="0.3">
      <c r="A77" s="25" t="s">
        <v>58</v>
      </c>
      <c r="B77" s="25"/>
      <c r="C77" s="7"/>
      <c r="D77" s="7"/>
      <c r="E77" s="6"/>
      <c r="F77" s="13"/>
      <c r="G77" s="13"/>
      <c r="H77" s="8"/>
    </row>
    <row r="78" spans="1:8" ht="14.25" customHeight="1" x14ac:dyDescent="0.3">
      <c r="A78" s="26" t="s">
        <v>68</v>
      </c>
      <c r="B78" s="26"/>
      <c r="C78" s="7">
        <v>46204</v>
      </c>
      <c r="D78" s="7">
        <v>46295</v>
      </c>
      <c r="E78" s="6" t="s">
        <v>51</v>
      </c>
      <c r="F78" s="13">
        <f>+NETWORKDAYS(C78,D78)</f>
        <v>66</v>
      </c>
      <c r="G78" s="29"/>
      <c r="H78" s="8"/>
    </row>
    <row r="79" spans="1:8" ht="14.25" customHeight="1" x14ac:dyDescent="0.3">
      <c r="A79" s="26" t="s">
        <v>69</v>
      </c>
      <c r="B79" s="26"/>
      <c r="C79" s="7">
        <v>46063</v>
      </c>
      <c r="D79" s="7">
        <v>46142</v>
      </c>
      <c r="E79" s="6" t="s">
        <v>41</v>
      </c>
      <c r="F79" s="13">
        <f>+NETWORKDAYS(C79,D79)</f>
        <v>58</v>
      </c>
      <c r="G79" s="29"/>
      <c r="H79" s="8"/>
    </row>
    <row r="80" spans="1:8" ht="14.25" customHeight="1" x14ac:dyDescent="0.3">
      <c r="A80" s="26" t="s">
        <v>70</v>
      </c>
      <c r="B80" s="26"/>
      <c r="C80" s="7">
        <v>46204</v>
      </c>
      <c r="D80" s="7">
        <v>46233</v>
      </c>
      <c r="E80" s="6" t="s">
        <v>41</v>
      </c>
      <c r="F80" s="13">
        <f>+NETWORKDAYS(C80,D80)</f>
        <v>22</v>
      </c>
      <c r="G80" s="29"/>
      <c r="H80" s="8"/>
    </row>
    <row r="81" spans="1:8" ht="14.25" customHeight="1" x14ac:dyDescent="0.3">
      <c r="A81" s="12"/>
      <c r="B81" s="12"/>
      <c r="C81" s="7"/>
      <c r="D81" s="7"/>
      <c r="E81" s="6"/>
      <c r="F81" s="13"/>
      <c r="G81" s="13"/>
      <c r="H81" s="8"/>
    </row>
    <row r="82" spans="1:8" ht="14.25" customHeight="1" x14ac:dyDescent="0.3">
      <c r="A82" s="25" t="s">
        <v>57</v>
      </c>
      <c r="B82" s="25"/>
      <c r="C82" s="7"/>
      <c r="D82" s="7"/>
      <c r="E82" s="6"/>
      <c r="F82" s="13"/>
      <c r="G82" s="13"/>
      <c r="H82" s="8"/>
    </row>
    <row r="83" spans="1:8" ht="14.25" customHeight="1" x14ac:dyDescent="0.3">
      <c r="A83" s="26" t="s">
        <v>71</v>
      </c>
      <c r="B83" s="26"/>
      <c r="C83" s="7">
        <v>46113</v>
      </c>
      <c r="D83" s="7">
        <v>46327</v>
      </c>
      <c r="E83" s="6" t="s">
        <v>41</v>
      </c>
      <c r="F83" s="13">
        <f>+NETWORKDAYS(C83,D83)</f>
        <v>153</v>
      </c>
      <c r="G83" s="29"/>
      <c r="H83" s="8"/>
    </row>
    <row r="84" spans="1:8" ht="14.25" customHeight="1" x14ac:dyDescent="0.3">
      <c r="A84" s="26" t="s">
        <v>72</v>
      </c>
      <c r="B84" s="26"/>
      <c r="C84" s="7">
        <v>46113</v>
      </c>
      <c r="D84" s="7">
        <v>46327</v>
      </c>
      <c r="E84" s="6" t="s">
        <v>41</v>
      </c>
      <c r="F84" s="13">
        <f>+NETWORKDAYS(C84,D84)</f>
        <v>153</v>
      </c>
      <c r="G84" s="29"/>
      <c r="H84" s="8"/>
    </row>
    <row r="85" spans="1:8" ht="14.25" customHeight="1" x14ac:dyDescent="0.3">
      <c r="A85" s="12"/>
      <c r="B85" s="12"/>
      <c r="C85" s="7"/>
      <c r="D85" s="7"/>
      <c r="E85" s="6"/>
      <c r="F85" s="13"/>
      <c r="G85" s="13"/>
      <c r="H85" s="8"/>
    </row>
    <row r="86" spans="1:8" ht="14.25" customHeight="1" x14ac:dyDescent="0.3">
      <c r="A86" s="25" t="s">
        <v>73</v>
      </c>
      <c r="B86" s="25"/>
      <c r="C86" s="7"/>
      <c r="D86" s="7"/>
      <c r="E86" s="6"/>
      <c r="F86" s="13"/>
      <c r="G86" s="13"/>
      <c r="H86" s="8"/>
    </row>
    <row r="87" spans="1:8" ht="14.25" customHeight="1" x14ac:dyDescent="0.3">
      <c r="A87" s="26" t="s">
        <v>74</v>
      </c>
      <c r="B87" s="26"/>
      <c r="C87" s="7">
        <v>46235</v>
      </c>
      <c r="D87" s="7">
        <v>46327</v>
      </c>
      <c r="E87" s="6" t="s">
        <v>51</v>
      </c>
      <c r="F87" s="13">
        <f>+NETWORKDAYS(C87,D87)</f>
        <v>65</v>
      </c>
      <c r="G87" s="29"/>
      <c r="H87" s="8"/>
    </row>
    <row r="88" spans="1:8" ht="14.25" customHeight="1" x14ac:dyDescent="0.3">
      <c r="A88" s="26" t="s">
        <v>75</v>
      </c>
      <c r="B88" s="26"/>
      <c r="C88" s="7">
        <v>46113</v>
      </c>
      <c r="D88" s="7">
        <v>46142</v>
      </c>
      <c r="E88" s="6" t="s">
        <v>41</v>
      </c>
      <c r="F88" s="13">
        <f>+NETWORKDAYS(C88,D88)</f>
        <v>22</v>
      </c>
      <c r="G88" s="29"/>
      <c r="H88" s="8"/>
    </row>
    <row r="89" spans="1:8" ht="14.25" customHeight="1" x14ac:dyDescent="0.3">
      <c r="A89" s="12"/>
      <c r="B89" s="12"/>
      <c r="C89" s="7"/>
      <c r="D89" s="7"/>
      <c r="E89" s="6"/>
      <c r="F89" s="13"/>
      <c r="G89" s="13"/>
      <c r="H89" s="8"/>
    </row>
    <row r="90" spans="1:8" ht="14.25" customHeight="1" x14ac:dyDescent="0.3">
      <c r="A90" s="25" t="s">
        <v>59</v>
      </c>
      <c r="B90" s="25"/>
      <c r="C90" s="7"/>
      <c r="D90" s="7"/>
      <c r="E90" s="6"/>
      <c r="F90" s="13"/>
      <c r="G90" s="13"/>
      <c r="H90" s="8"/>
    </row>
    <row r="91" spans="1:8" ht="14.25" customHeight="1" x14ac:dyDescent="0.3">
      <c r="A91" s="26" t="s">
        <v>76</v>
      </c>
      <c r="B91" s="26"/>
      <c r="C91" s="7">
        <v>46174</v>
      </c>
      <c r="D91" s="7">
        <v>46296</v>
      </c>
      <c r="E91" s="6" t="s">
        <v>41</v>
      </c>
      <c r="F91" s="13">
        <f>+NETWORKDAYS(C91,D91)</f>
        <v>89</v>
      </c>
      <c r="G91" s="29"/>
      <c r="H91" s="8"/>
    </row>
    <row r="92" spans="1:8" ht="14.25" customHeight="1" x14ac:dyDescent="0.3">
      <c r="A92" s="26" t="s">
        <v>77</v>
      </c>
      <c r="B92" s="26"/>
      <c r="C92" s="7">
        <v>46063</v>
      </c>
      <c r="D92" s="7">
        <v>46327</v>
      </c>
      <c r="E92" s="6" t="s">
        <v>41</v>
      </c>
      <c r="F92" s="13">
        <f>+NETWORKDAYS(C92,D92)</f>
        <v>189</v>
      </c>
      <c r="G92" s="29"/>
      <c r="H92" s="8"/>
    </row>
    <row r="93" spans="1:8" ht="14.25" customHeight="1" x14ac:dyDescent="0.3">
      <c r="A93" s="12"/>
      <c r="B93" s="12"/>
      <c r="C93" s="7"/>
      <c r="D93" s="7"/>
      <c r="E93" s="6"/>
      <c r="F93" s="13"/>
      <c r="G93" s="13"/>
      <c r="H93" s="8"/>
    </row>
    <row r="94" spans="1:8" ht="12.6" customHeight="1" x14ac:dyDescent="0.3">
      <c r="A94" s="9" t="s">
        <v>88</v>
      </c>
      <c r="B94" s="9"/>
      <c r="C94" s="7"/>
      <c r="D94" s="7"/>
      <c r="E94" s="6"/>
      <c r="F94" s="13"/>
      <c r="G94" s="13"/>
      <c r="H94" s="8"/>
    </row>
    <row r="95" spans="1:8" ht="15.6" x14ac:dyDescent="0.3">
      <c r="A95" s="9"/>
      <c r="B95" s="9"/>
      <c r="C95" s="7"/>
      <c r="D95" s="7"/>
      <c r="E95" s="6"/>
      <c r="F95" s="13"/>
      <c r="G95" s="13"/>
      <c r="H95" s="8"/>
    </row>
    <row r="96" spans="1:8" ht="14.25" customHeight="1" x14ac:dyDescent="0.3">
      <c r="A96" s="26" t="s">
        <v>78</v>
      </c>
      <c r="B96" s="26"/>
      <c r="C96" s="28">
        <v>46080</v>
      </c>
      <c r="D96" s="28">
        <v>46080</v>
      </c>
      <c r="E96" s="6" t="s">
        <v>51</v>
      </c>
      <c r="F96" s="13">
        <f t="shared" ref="F96:F97" si="16">+NETWORKDAYS(C96,D96)</f>
        <v>1</v>
      </c>
      <c r="G96" s="29"/>
      <c r="H96" s="8"/>
    </row>
    <row r="97" spans="1:8" ht="14.25" customHeight="1" x14ac:dyDescent="0.3">
      <c r="A97" s="26" t="s">
        <v>79</v>
      </c>
      <c r="B97" s="26"/>
      <c r="C97" s="28">
        <v>46080</v>
      </c>
      <c r="D97" s="28">
        <v>46080</v>
      </c>
      <c r="E97" s="6" t="s">
        <v>51</v>
      </c>
      <c r="F97" s="13">
        <f t="shared" si="16"/>
        <v>1</v>
      </c>
      <c r="G97" s="29"/>
      <c r="H97" s="8"/>
    </row>
    <row r="98" spans="1:8" ht="15.6" x14ac:dyDescent="0.3">
      <c r="A98" s="9"/>
      <c r="B98" s="9"/>
      <c r="C98" s="7"/>
      <c r="D98" s="7"/>
      <c r="E98" s="6"/>
      <c r="F98" s="13"/>
      <c r="G98" s="13"/>
      <c r="H98" s="8"/>
    </row>
    <row r="99" spans="1:8" ht="12.6" customHeight="1" x14ac:dyDescent="0.3">
      <c r="A99" s="9" t="s">
        <v>89</v>
      </c>
      <c r="B99" s="9"/>
      <c r="C99" s="7"/>
      <c r="D99" s="7"/>
      <c r="E99" s="6"/>
      <c r="F99" s="13"/>
      <c r="G99" s="13"/>
      <c r="H99" s="8"/>
    </row>
    <row r="100" spans="1:8" ht="15.6" x14ac:dyDescent="0.3">
      <c r="A100" s="9"/>
      <c r="B100" s="9"/>
      <c r="C100" s="7"/>
      <c r="D100" s="7"/>
      <c r="E100" s="6"/>
      <c r="F100" s="13"/>
      <c r="G100" s="13"/>
      <c r="H100" s="8"/>
    </row>
    <row r="101" spans="1:8" ht="14.25" customHeight="1" x14ac:dyDescent="0.3">
      <c r="A101" s="26" t="s">
        <v>80</v>
      </c>
      <c r="B101" s="26"/>
      <c r="C101" s="7">
        <v>45627</v>
      </c>
      <c r="D101" s="7">
        <v>46066</v>
      </c>
      <c r="E101" s="6" t="s">
        <v>6</v>
      </c>
      <c r="F101" s="13">
        <f t="shared" ref="F101:F102" si="17">+NETWORKDAYS(C101,D101)</f>
        <v>315</v>
      </c>
      <c r="G101" s="29"/>
      <c r="H101" s="8"/>
    </row>
    <row r="102" spans="1:8" ht="14.25" customHeight="1" x14ac:dyDescent="0.3">
      <c r="A102" s="26" t="s">
        <v>81</v>
      </c>
      <c r="B102" s="26"/>
      <c r="C102" s="7">
        <v>46063</v>
      </c>
      <c r="D102" s="7">
        <v>46064</v>
      </c>
      <c r="E102" s="6" t="s">
        <v>6</v>
      </c>
      <c r="F102" s="13">
        <f t="shared" si="17"/>
        <v>2</v>
      </c>
      <c r="G102" s="29"/>
      <c r="H102" s="8"/>
    </row>
    <row r="103" spans="1:8" ht="14.25" customHeight="1" x14ac:dyDescent="0.3">
      <c r="A103" s="26" t="s">
        <v>82</v>
      </c>
      <c r="B103" s="26"/>
      <c r="C103" s="7">
        <f>C67</f>
        <v>46063</v>
      </c>
      <c r="D103" s="7">
        <v>46142</v>
      </c>
      <c r="E103" s="6" t="s">
        <v>41</v>
      </c>
      <c r="F103" s="13">
        <f t="shared" ref="F103" si="18">+NETWORKDAYS(C103,D103)</f>
        <v>58</v>
      </c>
      <c r="G103" s="29"/>
      <c r="H103" s="8"/>
    </row>
    <row r="104" spans="1:8" ht="15.6" x14ac:dyDescent="0.3">
      <c r="A104" s="9"/>
      <c r="B104" s="9"/>
      <c r="C104" s="7"/>
      <c r="D104" s="7"/>
      <c r="E104" s="6"/>
      <c r="F104" s="13"/>
      <c r="G104" s="13"/>
      <c r="H104" s="8"/>
    </row>
    <row r="105" spans="1:8" ht="14.25" customHeight="1" x14ac:dyDescent="0.3">
      <c r="H105" s="8"/>
    </row>
    <row r="106" spans="1:8" ht="14.25" customHeight="1" x14ac:dyDescent="0.3">
      <c r="H106" s="8"/>
    </row>
  </sheetData>
  <autoFilter ref="A1:F88" xr:uid="{D2A62D59-AED2-4531-B8AE-D49C13354E71}"/>
  <phoneticPr fontId="8" type="noConversion"/>
  <conditionalFormatting sqref="H2:H106">
    <cfRule type="containsText" dxfId="9" priority="54" operator="containsText" text="En Tiempo">
      <formula>NOT(ISERROR(SEARCH("En Tiempo",H2)))</formula>
    </cfRule>
    <cfRule type="containsText" dxfId="8" priority="55" operator="containsText" text="Terminado">
      <formula>NOT(ISERROR(SEARCH("Terminado",H2)))</formula>
    </cfRule>
    <cfRule type="containsText" dxfId="7" priority="56" operator="containsText" text="R. Leve">
      <formula>NOT(ISERROR(SEARCH("R. Leve",H2)))</formula>
    </cfRule>
    <cfRule type="containsText" dxfId="6" priority="57" operator="containsText" text="Pendiente">
      <formula>NOT(ISERROR(SEARCH("Pendiente",H2)))</formula>
    </cfRule>
    <cfRule type="containsText" dxfId="5" priority="58" operator="containsText" text="R. Leve">
      <formula>NOT(ISERROR(SEARCH("R. Leve",H2)))</formula>
    </cfRule>
    <cfRule type="containsText" dxfId="4" priority="59" operator="containsText" text="En Tiempo">
      <formula>NOT(ISERROR(SEARCH("En Tiempo",H2)))</formula>
    </cfRule>
    <cfRule type="containsText" dxfId="3" priority="60" operator="containsText" text="Terminado">
      <formula>NOT(ISERROR(SEARCH("Terminado",H2)))</formula>
    </cfRule>
    <cfRule type="containsText" dxfId="2" priority="746" operator="containsText" text="R. Crítico">
      <formula>NOT(ISERROR(SEARCH("R. Crítico",H2)))</formula>
    </cfRule>
    <cfRule type="containsText" dxfId="1" priority="747" operator="containsText" text="R. Grave">
      <formula>NOT(ISERROR(SEARCH("R. Grave",H2)))</formula>
    </cfRule>
    <cfRule type="containsText" dxfId="0" priority="748" operator="containsText" text="R. Medio">
      <formula>NOT(ISERROR(SEARCH("R. Medio",H2)))</formula>
    </cfRule>
  </conditionalFormatting>
  <pageMargins left="0.25" right="0.25" top="0.75" bottom="0.75" header="0.3" footer="0.3"/>
  <pageSetup scale="1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5eca93-eb46-4153-872d-d12cdd71f9e5" xsi:nil="true"/>
    <lcf76f155ced4ddcb4097134ff3c332f xmlns="8830fe13-1abe-42cd-920f-164c3d72acef">
      <Terms xmlns="http://schemas.microsoft.com/office/infopath/2007/PartnerControls"/>
    </lcf76f155ced4ddcb4097134ff3c332f>
    <SharedWithUsers xmlns="4a5eca93-eb46-4153-872d-d12cdd71f9e5">
      <UserInfo>
        <DisplayName/>
        <AccountId xsi:nil="true"/>
        <AccountType/>
      </UserInfo>
    </SharedWithUsers>
    <MediaLengthInSeconds xmlns="8830fe13-1abe-42cd-920f-164c3d72acef" xsi:nil="true"/>
    <_Flow_SignoffStatus xmlns="8830fe13-1abe-42cd-920f-164c3d72ace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AFDACC9350FA408D9C50CE553FE4B2" ma:contentTypeVersion="20" ma:contentTypeDescription="Crear nuevo documento." ma:contentTypeScope="" ma:versionID="5bd48cff24c612a7f29e765999790945">
  <xsd:schema xmlns:xsd="http://www.w3.org/2001/XMLSchema" xmlns:xs="http://www.w3.org/2001/XMLSchema" xmlns:p="http://schemas.microsoft.com/office/2006/metadata/properties" xmlns:ns2="4a5eca93-eb46-4153-872d-d12cdd71f9e5" xmlns:ns3="8830fe13-1abe-42cd-920f-164c3d72acef" targetNamespace="http://schemas.microsoft.com/office/2006/metadata/properties" ma:root="true" ma:fieldsID="057dbdc62c65db7ecb29f7a25ba34865" ns2:_="" ns3:_="">
    <xsd:import namespace="4a5eca93-eb46-4153-872d-d12cdd71f9e5"/>
    <xsd:import namespace="8830fe13-1abe-42cd-920f-164c3d72ace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eca93-eb46-4153-872d-d12cdd71f9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b631b6-bfb3-4b3b-a811-78ccf2ea6a9f}" ma:internalName="TaxCatchAll" ma:showField="CatchAllData" ma:web="4a5eca93-eb46-4153-872d-d12cdd71f9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0fe13-1abe-42cd-920f-164c3d72ac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Estado de aprobación" ma:internalName="Estado_x0020_de_x0020_aprobaci_x00f3_n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d6b393f-3b87-4f3f-bef6-cd9bed286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916D9E-EAE0-4B0C-90C7-3C641D678F39}">
  <ds:schemaRefs>
    <ds:schemaRef ds:uri="http://schemas.microsoft.com/office/2006/metadata/properties"/>
    <ds:schemaRef ds:uri="http://schemas.microsoft.com/office/infopath/2007/PartnerControls"/>
    <ds:schemaRef ds:uri="4a5eca93-eb46-4153-872d-d12cdd71f9e5"/>
    <ds:schemaRef ds:uri="8830fe13-1abe-42cd-920f-164c3d72acef"/>
  </ds:schemaRefs>
</ds:datastoreItem>
</file>

<file path=customXml/itemProps2.xml><?xml version="1.0" encoding="utf-8"?>
<ds:datastoreItem xmlns:ds="http://schemas.openxmlformats.org/officeDocument/2006/customXml" ds:itemID="{E8201249-C42C-4BCF-8619-D213EA53FB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eca93-eb46-4153-872d-d12cdd71f9e5"/>
    <ds:schemaRef ds:uri="8830fe13-1abe-42cd-920f-164c3d72ac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12A931-6EDC-4172-850D-A43A05E734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IT02</dc:creator>
  <cp:keywords/>
  <dc:description/>
  <cp:lastModifiedBy>Dario Gomez</cp:lastModifiedBy>
  <cp:revision/>
  <dcterms:created xsi:type="dcterms:W3CDTF">2019-11-09T00:11:23Z</dcterms:created>
  <dcterms:modified xsi:type="dcterms:W3CDTF">2026-02-10T22:14:13Z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0x0101001AAFDACC9350FA408D9C50CE553FE4B2</vt:lpwstr>
  </property>
  <property fmtid="{D5CDD505-2E9C-101B-9397-08002B2CF9AE}" pid="3" name="MediaServiceImageTags">
    <vt:lpwstr/>
  </property>
  <property fmtid="{D5CDD505-2E9C-101B-9397-08002B2CF9AE}" pid="4" name="Order">
    <vt:r8>21068900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